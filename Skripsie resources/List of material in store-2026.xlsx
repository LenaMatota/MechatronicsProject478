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Material list" sheetId="1" r:id="rId4"/>
  </sheets>
  <definedNames/>
  <calcPr/>
  <extLst>
    <ext uri="GoogleSheetsCustomDataVersion2">
      <go:sheetsCustomData xmlns:go="http://customooxmlschemas.google.com/" r:id="rId5" roundtripDataChecksum="lbTV3uszQ99RsFCInRFTuAgA6qRq+rp7bKmrBEPuPDg="/>
    </ext>
  </extLst>
</workbook>
</file>

<file path=xl/sharedStrings.xml><?xml version="1.0" encoding="utf-8"?>
<sst xmlns="http://schemas.openxmlformats.org/spreadsheetml/2006/main" count="830" uniqueCount="677">
  <si>
    <t>All Prices Excluding vat</t>
  </si>
  <si>
    <t>Aluminium Angle Iron</t>
  </si>
  <si>
    <t>Price Per Metre</t>
  </si>
  <si>
    <t>Combined lengths availbale</t>
  </si>
  <si>
    <t>LENGTHS AND PIECES AVAILABLE IN STORE</t>
  </si>
  <si>
    <t>25 x 25 x 1.6</t>
  </si>
  <si>
    <t>R23.00</t>
  </si>
  <si>
    <t>25 x 25 x 3</t>
  </si>
  <si>
    <t>R126.00</t>
  </si>
  <si>
    <t>32 x 32 x 3</t>
  </si>
  <si>
    <t>R68.80</t>
  </si>
  <si>
    <t>38 x 38 x 2</t>
  </si>
  <si>
    <t>38 x 38 x 3</t>
  </si>
  <si>
    <t>R56.00</t>
  </si>
  <si>
    <t>38 x 38 x 6</t>
  </si>
  <si>
    <t>R105.00</t>
  </si>
  <si>
    <t>50 x 50 x 2</t>
  </si>
  <si>
    <t>R48.00</t>
  </si>
  <si>
    <t>50 x 50 x 3</t>
  </si>
  <si>
    <t>R75.00</t>
  </si>
  <si>
    <t>76 x 76 x 6</t>
  </si>
  <si>
    <t>Aluminium Flatbar</t>
  </si>
  <si>
    <t>20 x 3</t>
  </si>
  <si>
    <t>R11.16</t>
  </si>
  <si>
    <t>25 x 2</t>
  </si>
  <si>
    <t>R25.00</t>
  </si>
  <si>
    <t>25 x 3</t>
  </si>
  <si>
    <t>25 x 5</t>
  </si>
  <si>
    <t>R35.00</t>
  </si>
  <si>
    <t>32 X 3</t>
  </si>
  <si>
    <t>38 x 3</t>
  </si>
  <si>
    <t>38 x 6</t>
  </si>
  <si>
    <t>R79.33</t>
  </si>
  <si>
    <t>50 X 3</t>
  </si>
  <si>
    <t>R21.00</t>
  </si>
  <si>
    <t>50 x 5</t>
  </si>
  <si>
    <t>50 x 6</t>
  </si>
  <si>
    <t>R58.96</t>
  </si>
  <si>
    <t>Aluminium Square Tubing</t>
  </si>
  <si>
    <t>12 x 12 x 1</t>
  </si>
  <si>
    <t>R7.87</t>
  </si>
  <si>
    <t>19 x 19 x 1.6</t>
  </si>
  <si>
    <t>25 x 25 x 2</t>
  </si>
  <si>
    <t>R68.16</t>
  </si>
  <si>
    <t>32 x 32 x 2</t>
  </si>
  <si>
    <t>R88.66</t>
  </si>
  <si>
    <t>R124.66</t>
  </si>
  <si>
    <t>R115.50</t>
  </si>
  <si>
    <t>R163.00</t>
  </si>
  <si>
    <t>100 x 100 x 4</t>
  </si>
  <si>
    <t>R96.77</t>
  </si>
  <si>
    <t>Aluminium Rectangular Tubing</t>
  </si>
  <si>
    <t>15 x 20 x 2</t>
  </si>
  <si>
    <t>50 x 25 x 2</t>
  </si>
  <si>
    <t>R47.76</t>
  </si>
  <si>
    <t>76 x 38 x 2</t>
  </si>
  <si>
    <t>R112.66</t>
  </si>
  <si>
    <t>Aluminium Channel</t>
  </si>
  <si>
    <t>16 x 16 x 1.7</t>
  </si>
  <si>
    <t>R10.60</t>
  </si>
  <si>
    <t>25 x 12 x 2</t>
  </si>
  <si>
    <t>R20.59</t>
  </si>
  <si>
    <t>27 x 25 x 3</t>
  </si>
  <si>
    <t>R40.83</t>
  </si>
  <si>
    <t>Aluminium Solid (6082)</t>
  </si>
  <si>
    <t>Ø6</t>
  </si>
  <si>
    <t>R11.00</t>
  </si>
  <si>
    <t>Ø8</t>
  </si>
  <si>
    <t>R11.25</t>
  </si>
  <si>
    <t>Ø10</t>
  </si>
  <si>
    <t>R30.50</t>
  </si>
  <si>
    <t>Ø13</t>
  </si>
  <si>
    <t>R21.60</t>
  </si>
  <si>
    <t>Ø16</t>
  </si>
  <si>
    <t>R31.70</t>
  </si>
  <si>
    <t>Ø20</t>
  </si>
  <si>
    <t>R62.70</t>
  </si>
  <si>
    <t>Ø25</t>
  </si>
  <si>
    <t>R94.20</t>
  </si>
  <si>
    <t>Ø30</t>
  </si>
  <si>
    <t>R217.20</t>
  </si>
  <si>
    <t>Ø35</t>
  </si>
  <si>
    <t>R291.66</t>
  </si>
  <si>
    <t>Ø40</t>
  </si>
  <si>
    <t>R327.20</t>
  </si>
  <si>
    <r>
      <rPr>
        <rFont val="&quot;Comic Sans MS&quot;"/>
        <color rgb="FF000000"/>
        <sz val="14.0"/>
      </rPr>
      <t>ø</t>
    </r>
    <r>
      <rPr>
        <rFont val="&quot;Comic Sans MS&quot;"/>
        <color rgb="FF000000"/>
      </rPr>
      <t>45</t>
    </r>
  </si>
  <si>
    <t>R488.66</t>
  </si>
  <si>
    <t>Ø50</t>
  </si>
  <si>
    <t>R635.20</t>
  </si>
  <si>
    <t>Ø51</t>
  </si>
  <si>
    <t>R376.50</t>
  </si>
  <si>
    <t>Ø60</t>
  </si>
  <si>
    <t>R1133.00</t>
  </si>
  <si>
    <t>Ø70</t>
  </si>
  <si>
    <t>R945.00</t>
  </si>
  <si>
    <r>
      <rPr>
        <rFont val="&quot;Comic Sans MS&quot;"/>
        <color rgb="FF000000"/>
        <sz val="11.0"/>
      </rPr>
      <t>ø</t>
    </r>
    <r>
      <rPr>
        <rFont val="&quot;Comic Sans MS&quot;"/>
        <color rgb="FF000000"/>
        <sz val="11.0"/>
      </rPr>
      <t>100</t>
    </r>
  </si>
  <si>
    <t>R2332.00</t>
  </si>
  <si>
    <t>ø110</t>
  </si>
  <si>
    <t>ø120</t>
  </si>
  <si>
    <t>Ø152.4</t>
  </si>
  <si>
    <t>Ø160</t>
  </si>
  <si>
    <t>R4913.00</t>
  </si>
  <si>
    <t>Ø204</t>
  </si>
  <si>
    <t>R7920.00</t>
  </si>
  <si>
    <t>Aluminium Pipe</t>
  </si>
  <si>
    <t>10 x 1</t>
  </si>
  <si>
    <t>10 x 1.5</t>
  </si>
  <si>
    <t>12.7 x 2</t>
  </si>
  <si>
    <t>R6.53</t>
  </si>
  <si>
    <t>16 x 2</t>
  </si>
  <si>
    <t>19 x 2</t>
  </si>
  <si>
    <t>22 x 1.6</t>
  </si>
  <si>
    <t>R12.50</t>
  </si>
  <si>
    <t>R38.66</t>
  </si>
  <si>
    <t>31.75 x 1.6</t>
  </si>
  <si>
    <t>32 x 1.6</t>
  </si>
  <si>
    <t>R28.00</t>
  </si>
  <si>
    <t>32 x 3</t>
  </si>
  <si>
    <t>R46.26</t>
  </si>
  <si>
    <t>38 x 1.6</t>
  </si>
  <si>
    <t>38 x 2</t>
  </si>
  <si>
    <t>R75.31</t>
  </si>
  <si>
    <t>50 x 1</t>
  </si>
  <si>
    <t>50 x 1.6</t>
  </si>
  <si>
    <t>R62.00</t>
  </si>
  <si>
    <t>51 x 2</t>
  </si>
  <si>
    <t>57 x 3</t>
  </si>
  <si>
    <t>R73.12</t>
  </si>
  <si>
    <t>63 x 3</t>
  </si>
  <si>
    <t>R145.00</t>
  </si>
  <si>
    <t>76 x 3</t>
  </si>
  <si>
    <t>101 x 3</t>
  </si>
  <si>
    <t>101 x 1.2</t>
  </si>
  <si>
    <t>101 x 1.5</t>
  </si>
  <si>
    <t>101 x 1.6</t>
  </si>
  <si>
    <t>101 x 2</t>
  </si>
  <si>
    <t>120 x 6</t>
  </si>
  <si>
    <t>Aluminium Square Bar</t>
  </si>
  <si>
    <t>12 x 12</t>
  </si>
  <si>
    <t>16 x 16</t>
  </si>
  <si>
    <t>20 x 20</t>
  </si>
  <si>
    <t>R136.00</t>
  </si>
  <si>
    <t>25 x 25</t>
  </si>
  <si>
    <t>32 x 32</t>
  </si>
  <si>
    <t>51 x 51</t>
  </si>
  <si>
    <t xml:space="preserve">ALUMINIUM SHEET </t>
  </si>
  <si>
    <t>8mm</t>
  </si>
  <si>
    <t>10mm</t>
  </si>
  <si>
    <t>12mm</t>
  </si>
  <si>
    <t>R4 752.00</t>
  </si>
  <si>
    <t>16mm</t>
  </si>
  <si>
    <t>R5 280.00</t>
  </si>
  <si>
    <t>20mm</t>
  </si>
  <si>
    <t>R6 600.00</t>
  </si>
  <si>
    <t>Stainless Steel Angle Iron</t>
  </si>
  <si>
    <t>R71.42</t>
  </si>
  <si>
    <t>30 x 30 x 3</t>
  </si>
  <si>
    <t>R113.80</t>
  </si>
  <si>
    <t>30 x 30 x 5</t>
  </si>
  <si>
    <t>40 x 40 x 3</t>
  </si>
  <si>
    <t>R151.20</t>
  </si>
  <si>
    <t>40 x 40 x 6</t>
  </si>
  <si>
    <t>R235.85</t>
  </si>
  <si>
    <t>50 x 50 x 5</t>
  </si>
  <si>
    <t>Stainless Steel Square Tubing</t>
  </si>
  <si>
    <t>20 x 20 x 1.2</t>
  </si>
  <si>
    <t>20 x 20 x 1.5</t>
  </si>
  <si>
    <t>R51.93</t>
  </si>
  <si>
    <t>25 x 25 x 1.2</t>
  </si>
  <si>
    <t>R47.65</t>
  </si>
  <si>
    <t>25 x 25 x 1.5</t>
  </si>
  <si>
    <t>R61.77</t>
  </si>
  <si>
    <t>30 x 30 x 1.5</t>
  </si>
  <si>
    <t>30 x 30 x 2</t>
  </si>
  <si>
    <t>R100.00</t>
  </si>
  <si>
    <t>40 x 40 x 1.5</t>
  </si>
  <si>
    <t>R103.48</t>
  </si>
  <si>
    <t>40 x 40 x 2</t>
  </si>
  <si>
    <t>R133.86</t>
  </si>
  <si>
    <t>Stainless Steel Rectangular Tubing</t>
  </si>
  <si>
    <t>25 x 50 x 1.5</t>
  </si>
  <si>
    <t>40 x 20 x 1.5</t>
  </si>
  <si>
    <t>Stainless Steel Squarebar</t>
  </si>
  <si>
    <t>R120.30</t>
  </si>
  <si>
    <t>Stainless Steel Flatbar</t>
  </si>
  <si>
    <t>R78.57</t>
  </si>
  <si>
    <t>25 x 10</t>
  </si>
  <si>
    <t>R102.85</t>
  </si>
  <si>
    <t>30 x 3</t>
  </si>
  <si>
    <t>R37.15</t>
  </si>
  <si>
    <t>30 x 5</t>
  </si>
  <si>
    <t>R70.00</t>
  </si>
  <si>
    <t>40 x 6</t>
  </si>
  <si>
    <t>R97.75</t>
  </si>
  <si>
    <t>50 x 3</t>
  </si>
  <si>
    <t>R100.30</t>
  </si>
  <si>
    <t>R200.60</t>
  </si>
  <si>
    <t>50 x 8</t>
  </si>
  <si>
    <t>R177.44</t>
  </si>
  <si>
    <t>60 x 20 (Flamecut)</t>
  </si>
  <si>
    <t>90 x 6</t>
  </si>
  <si>
    <t>Stainless Steel Hexagonbar</t>
  </si>
  <si>
    <t>6 x 6</t>
  </si>
  <si>
    <t>R14.28</t>
  </si>
  <si>
    <t>8 x 8</t>
  </si>
  <si>
    <t>R16.27</t>
  </si>
  <si>
    <t>Stainless Steel Pipe (304)</t>
  </si>
  <si>
    <t>3.2 x 1.2</t>
  </si>
  <si>
    <t>3.2 x 1</t>
  </si>
  <si>
    <t>3 x 1</t>
  </si>
  <si>
    <t>6 x 1</t>
  </si>
  <si>
    <t>R20.17</t>
  </si>
  <si>
    <t>12 x 1</t>
  </si>
  <si>
    <t>R32.28</t>
  </si>
  <si>
    <t>12.7 x 1</t>
  </si>
  <si>
    <t>R36.00</t>
  </si>
  <si>
    <t>19 x 1.5</t>
  </si>
  <si>
    <t>19 x 1.6</t>
  </si>
  <si>
    <t>21 x 2</t>
  </si>
  <si>
    <t>22 x 1</t>
  </si>
  <si>
    <t>R57.14</t>
  </si>
  <si>
    <t>25 x 1.5</t>
  </si>
  <si>
    <t>R61.81</t>
  </si>
  <si>
    <t>26.7 x 3(316)</t>
  </si>
  <si>
    <t>28 x 1.6</t>
  </si>
  <si>
    <t>32 x 1.5</t>
  </si>
  <si>
    <t xml:space="preserve">32 x 1.6  </t>
  </si>
  <si>
    <t>R61.61</t>
  </si>
  <si>
    <t>33 x 2.5</t>
  </si>
  <si>
    <t>38 x 1.2</t>
  </si>
  <si>
    <t>38 x 1.5</t>
  </si>
  <si>
    <t>42 x 2.5</t>
  </si>
  <si>
    <t>42 x 4</t>
  </si>
  <si>
    <t>R97.50</t>
  </si>
  <si>
    <t>43 x 2</t>
  </si>
  <si>
    <t>44 x 1.2</t>
  </si>
  <si>
    <t>48 x 3</t>
  </si>
  <si>
    <t>50.8 x 1.5 (316)</t>
  </si>
  <si>
    <t>51 x 1.5</t>
  </si>
  <si>
    <t>R118.88</t>
  </si>
  <si>
    <t>52 x 1.5 (316)</t>
  </si>
  <si>
    <t>60 x 5</t>
  </si>
  <si>
    <t>63 x 1.5</t>
  </si>
  <si>
    <t>R158.68</t>
  </si>
  <si>
    <t>73 x 3</t>
  </si>
  <si>
    <t>73 x 5</t>
  </si>
  <si>
    <t>70 x 2</t>
  </si>
  <si>
    <t>76 x 1.5</t>
  </si>
  <si>
    <t>R95.13</t>
  </si>
  <si>
    <t>89 x 3</t>
  </si>
  <si>
    <t>R136.82</t>
  </si>
  <si>
    <t>89 x 5</t>
  </si>
  <si>
    <t>R202.67</t>
  </si>
  <si>
    <t>R402.67</t>
  </si>
  <si>
    <t>114 x 3</t>
  </si>
  <si>
    <t>R431.04</t>
  </si>
  <si>
    <t>114 x 6</t>
  </si>
  <si>
    <t>114 x 9</t>
  </si>
  <si>
    <t>128 x 2</t>
  </si>
  <si>
    <t>140 x 2</t>
  </si>
  <si>
    <t>142 x 6</t>
  </si>
  <si>
    <t>Stainless Steel Solid 304</t>
  </si>
  <si>
    <t>Ø3</t>
  </si>
  <si>
    <t>R7.41</t>
  </si>
  <si>
    <t>Ø4</t>
  </si>
  <si>
    <t>R20.00</t>
  </si>
  <si>
    <t>Ø12</t>
  </si>
  <si>
    <t>R113.22</t>
  </si>
  <si>
    <t>R215.11</t>
  </si>
  <si>
    <t>R299.43</t>
  </si>
  <si>
    <t>R391.84</t>
  </si>
  <si>
    <t>Ø32</t>
  </si>
  <si>
    <r>
      <rPr>
        <rFont val="&quot;Comic Sans MS&quot;"/>
        <color rgb="FF000000"/>
        <sz val="12.0"/>
      </rPr>
      <t>ø</t>
    </r>
    <r>
      <rPr>
        <rFont val="&quot;Comic Sans MS&quot;"/>
        <color rgb="FF000000"/>
      </rPr>
      <t>50</t>
    </r>
  </si>
  <si>
    <t>ø70</t>
  </si>
  <si>
    <t>ø100</t>
  </si>
  <si>
    <t>Mild Steel Solid (Black)</t>
  </si>
  <si>
    <t>R21.30</t>
  </si>
  <si>
    <t>R5.69</t>
  </si>
  <si>
    <t>R8.80</t>
  </si>
  <si>
    <t>R13.29</t>
  </si>
  <si>
    <t>R24.38</t>
  </si>
  <si>
    <t xml:space="preserve">Ø20 </t>
  </si>
  <si>
    <t>R38.10</t>
  </si>
  <si>
    <t>R59.53</t>
  </si>
  <si>
    <t>Ø26</t>
  </si>
  <si>
    <t xml:space="preserve"> </t>
  </si>
  <si>
    <t>Bright Mild Steel Solid (EN8)</t>
  </si>
  <si>
    <t>R7.46</t>
  </si>
  <si>
    <t>R17.25</t>
  </si>
  <si>
    <t>R24.15</t>
  </si>
  <si>
    <t>R28.03</t>
  </si>
  <si>
    <t>R96.60</t>
  </si>
  <si>
    <t>R154.00</t>
  </si>
  <si>
    <t>R183.12</t>
  </si>
  <si>
    <t>R249.50</t>
  </si>
  <si>
    <t>R152.43</t>
  </si>
  <si>
    <t>Ø45</t>
  </si>
  <si>
    <t>R209.19</t>
  </si>
  <si>
    <t>R570.17</t>
  </si>
  <si>
    <t>Ø55</t>
  </si>
  <si>
    <t>R652.17</t>
  </si>
  <si>
    <t>R1265.00</t>
  </si>
  <si>
    <t>Ø80</t>
  </si>
  <si>
    <t>Ø90</t>
  </si>
  <si>
    <t>R2050.00</t>
  </si>
  <si>
    <t>Ø100</t>
  </si>
  <si>
    <t>Ø120</t>
  </si>
  <si>
    <t>R4 140.00</t>
  </si>
  <si>
    <t>Ø130</t>
  </si>
  <si>
    <t>Ø150</t>
  </si>
  <si>
    <t>Mild Steel Pipe</t>
  </si>
  <si>
    <t>R13.52</t>
  </si>
  <si>
    <t>R31.34</t>
  </si>
  <si>
    <t>R23.48</t>
  </si>
  <si>
    <t>21 x 3</t>
  </si>
  <si>
    <t>R25.97</t>
  </si>
  <si>
    <t>R28.47</t>
  </si>
  <si>
    <t>25 x 2 (Galv)</t>
  </si>
  <si>
    <t>R45.04</t>
  </si>
  <si>
    <t>R31.31</t>
  </si>
  <si>
    <t>28 x 2</t>
  </si>
  <si>
    <t>R32.87</t>
  </si>
  <si>
    <t>28 x 3</t>
  </si>
  <si>
    <t>R35.23</t>
  </si>
  <si>
    <t>32 x 2</t>
  </si>
  <si>
    <t>R36.14</t>
  </si>
  <si>
    <t>R55.94</t>
  </si>
  <si>
    <t>34 x 2</t>
  </si>
  <si>
    <t>R38.93</t>
  </si>
  <si>
    <t>34 x 2 (Galv)</t>
  </si>
  <si>
    <t>R61.60</t>
  </si>
  <si>
    <t>42 x 3</t>
  </si>
  <si>
    <t>R89.21</t>
  </si>
  <si>
    <t>43 x 2 (Galv)</t>
  </si>
  <si>
    <t>R78.54</t>
  </si>
  <si>
    <t>49 x 3</t>
  </si>
  <si>
    <t xml:space="preserve">51 x 2 </t>
  </si>
  <si>
    <t>R57.44</t>
  </si>
  <si>
    <t>57 x 2</t>
  </si>
  <si>
    <t>R60.04</t>
  </si>
  <si>
    <t>63 x 2</t>
  </si>
  <si>
    <t>R73.76</t>
  </si>
  <si>
    <t>76 x 2 (GALV)</t>
  </si>
  <si>
    <t>R153.68</t>
  </si>
  <si>
    <t>R293.57</t>
  </si>
  <si>
    <t>R180.34</t>
  </si>
  <si>
    <t>R121.20</t>
  </si>
  <si>
    <t>102 x 2 (GALV)</t>
  </si>
  <si>
    <t>102 x 4</t>
  </si>
  <si>
    <t>R215.61</t>
  </si>
  <si>
    <t>114 x 2</t>
  </si>
  <si>
    <t>R134.70</t>
  </si>
  <si>
    <t>R209.08</t>
  </si>
  <si>
    <t>114 x 4</t>
  </si>
  <si>
    <t>R267.23</t>
  </si>
  <si>
    <t>114 x 4 (GALV)</t>
  </si>
  <si>
    <t>R408.06</t>
  </si>
  <si>
    <t>168 x 8</t>
  </si>
  <si>
    <t>R607.92</t>
  </si>
  <si>
    <t>Mild Steel Square Tubing</t>
  </si>
  <si>
    <t>13 x 13 x 2</t>
  </si>
  <si>
    <t>R13.79</t>
  </si>
  <si>
    <t>19 x 19 x 2</t>
  </si>
  <si>
    <t>R29.41</t>
  </si>
  <si>
    <t>R34.82</t>
  </si>
  <si>
    <t>R59.01</t>
  </si>
  <si>
    <t>R45.25</t>
  </si>
  <si>
    <t>R66.50</t>
  </si>
  <si>
    <t xml:space="preserve">50 x 50 x 2 </t>
  </si>
  <si>
    <t>R89.61</t>
  </si>
  <si>
    <t>60 x 60 x 2</t>
  </si>
  <si>
    <t>R117.94</t>
  </si>
  <si>
    <t>76 x 76 x 1.6</t>
  </si>
  <si>
    <t>76 x 76 x 2</t>
  </si>
  <si>
    <t>R101.00</t>
  </si>
  <si>
    <t>100 x 100 x 2</t>
  </si>
  <si>
    <t>R193.09</t>
  </si>
  <si>
    <t>152 x 152 x 6</t>
  </si>
  <si>
    <t>R773.76</t>
  </si>
  <si>
    <t>Mild Steel Rectangular Tubing</t>
  </si>
  <si>
    <t>38 x 25 x 2</t>
  </si>
  <si>
    <t>R54.94</t>
  </si>
  <si>
    <t>38 x 19 x 2</t>
  </si>
  <si>
    <t>R77.54</t>
  </si>
  <si>
    <t>50 x 25 x 3</t>
  </si>
  <si>
    <t>50 x 38 x 2</t>
  </si>
  <si>
    <t>R61.54</t>
  </si>
  <si>
    <t>R102.91</t>
  </si>
  <si>
    <t>76 x 50 x 2</t>
  </si>
  <si>
    <t>R108.02</t>
  </si>
  <si>
    <t>127 x 76 x 3</t>
  </si>
  <si>
    <t>150 x 50 x 4</t>
  </si>
  <si>
    <t>R583.54</t>
  </si>
  <si>
    <t>160 x 80 x 5</t>
  </si>
  <si>
    <t>R354.13</t>
  </si>
  <si>
    <t>160 x 80 x 6</t>
  </si>
  <si>
    <t>R627.98</t>
  </si>
  <si>
    <t>M/S Flatbar</t>
  </si>
  <si>
    <t>20 x 5</t>
  </si>
  <si>
    <t>R19.69</t>
  </si>
  <si>
    <t>20 x 8</t>
  </si>
  <si>
    <t>R20.93</t>
  </si>
  <si>
    <t>20 x 10</t>
  </si>
  <si>
    <t>R26.10</t>
  </si>
  <si>
    <t>R18.65</t>
  </si>
  <si>
    <t>25 x 6</t>
  </si>
  <si>
    <t>25 x 8</t>
  </si>
  <si>
    <t>R35.25</t>
  </si>
  <si>
    <t>R35.51</t>
  </si>
  <si>
    <t>25 x 12</t>
  </si>
  <si>
    <t>R42.53</t>
  </si>
  <si>
    <t>R22.28</t>
  </si>
  <si>
    <t>30 x 6</t>
  </si>
  <si>
    <t>R29.37</t>
  </si>
  <si>
    <t>30 x 8</t>
  </si>
  <si>
    <t>R31.40</t>
  </si>
  <si>
    <t>30 x 10</t>
  </si>
  <si>
    <t>R42.60</t>
  </si>
  <si>
    <t>30 x 12</t>
  </si>
  <si>
    <t>R51.03</t>
  </si>
  <si>
    <t>40 x 3</t>
  </si>
  <si>
    <t>R28.33</t>
  </si>
  <si>
    <t>40 x 5</t>
  </si>
  <si>
    <t>R25.69</t>
  </si>
  <si>
    <t>40 x 8</t>
  </si>
  <si>
    <t>R44.91</t>
  </si>
  <si>
    <t xml:space="preserve">40 x 10 </t>
  </si>
  <si>
    <t>R69.46</t>
  </si>
  <si>
    <t>40 x 12</t>
  </si>
  <si>
    <t>40 x 16</t>
  </si>
  <si>
    <t>R33.38</t>
  </si>
  <si>
    <t>50 x 10</t>
  </si>
  <si>
    <t>R63.76</t>
  </si>
  <si>
    <t>50 x 12</t>
  </si>
  <si>
    <t>R103.87</t>
  </si>
  <si>
    <t>50 x 16</t>
  </si>
  <si>
    <t>R139.52</t>
  </si>
  <si>
    <t>50 x 20</t>
  </si>
  <si>
    <t>50 x 25</t>
  </si>
  <si>
    <t>R259.88</t>
  </si>
  <si>
    <t>60 x 6</t>
  </si>
  <si>
    <t>R54.60</t>
  </si>
  <si>
    <t>60 x 10</t>
  </si>
  <si>
    <t>R83.95</t>
  </si>
  <si>
    <t>70 x 6</t>
  </si>
  <si>
    <t>R108.56</t>
  </si>
  <si>
    <t>70 x 16</t>
  </si>
  <si>
    <t>R157.11</t>
  </si>
  <si>
    <t>80 x 6</t>
  </si>
  <si>
    <t>R72.80</t>
  </si>
  <si>
    <t>80 x 8</t>
  </si>
  <si>
    <t>80 x 10</t>
  </si>
  <si>
    <t>R108.41</t>
  </si>
  <si>
    <t xml:space="preserve">80 x 12 </t>
  </si>
  <si>
    <t>R187.14</t>
  </si>
  <si>
    <t>100 x 6</t>
  </si>
  <si>
    <t>100 x 8</t>
  </si>
  <si>
    <t>R124.34</t>
  </si>
  <si>
    <t>100 x 10</t>
  </si>
  <si>
    <t>R168.55</t>
  </si>
  <si>
    <t>100 x 12</t>
  </si>
  <si>
    <t>R162.85</t>
  </si>
  <si>
    <t xml:space="preserve">                                </t>
  </si>
  <si>
    <t xml:space="preserve">                                                             </t>
  </si>
  <si>
    <t>100 x 16</t>
  </si>
  <si>
    <t>R216.29</t>
  </si>
  <si>
    <t xml:space="preserve">                                             </t>
  </si>
  <si>
    <t xml:space="preserve">100 x 20 </t>
  </si>
  <si>
    <t>R269.96</t>
  </si>
  <si>
    <t>130 x 10</t>
  </si>
  <si>
    <t>R242.09</t>
  </si>
  <si>
    <t>150 x 10</t>
  </si>
  <si>
    <t xml:space="preserve">                            </t>
  </si>
  <si>
    <t>150 x 12</t>
  </si>
  <si>
    <t>150 x 16</t>
  </si>
  <si>
    <t>Mild Steel Squarebar (black)</t>
  </si>
  <si>
    <t>R32.27</t>
  </si>
  <si>
    <t>R50.42</t>
  </si>
  <si>
    <t>R83.72</t>
  </si>
  <si>
    <t>40 x 40</t>
  </si>
  <si>
    <t>Mild Steel Squarebar (bright)</t>
  </si>
  <si>
    <t>22 x 22</t>
  </si>
  <si>
    <t>R184.30</t>
  </si>
  <si>
    <t>R228.79</t>
  </si>
  <si>
    <t>50 x 50</t>
  </si>
  <si>
    <t>R1473.75</t>
  </si>
  <si>
    <t>Mild Steel I Beam</t>
  </si>
  <si>
    <t>100 x 50 x 4</t>
  </si>
  <si>
    <t>100 x 50 x 7</t>
  </si>
  <si>
    <t>118 x 64 x 5</t>
  </si>
  <si>
    <t>120 x 65 x 5</t>
  </si>
  <si>
    <t>140 x 75 x 5</t>
  </si>
  <si>
    <t>150 x 85 x 8</t>
  </si>
  <si>
    <t>155 x 150 x 6</t>
  </si>
  <si>
    <t>180 x 90 x 6</t>
  </si>
  <si>
    <t>200 x 100 x 8</t>
  </si>
  <si>
    <t>250 x 148 x 6</t>
  </si>
  <si>
    <t>260 x 150 x 10</t>
  </si>
  <si>
    <t>308 x 100 x 6</t>
  </si>
  <si>
    <t>360 x 170 x 8</t>
  </si>
  <si>
    <t>Mild Steel U- Channel</t>
  </si>
  <si>
    <t>75 x 38 x 5</t>
  </si>
  <si>
    <t>R124.04</t>
  </si>
  <si>
    <t>78 x 38 x 4</t>
  </si>
  <si>
    <t>R188.56</t>
  </si>
  <si>
    <t>120 x 55 x 7</t>
  </si>
  <si>
    <t>R314.21</t>
  </si>
  <si>
    <t>160 x 65 x 10</t>
  </si>
  <si>
    <t>R336.08</t>
  </si>
  <si>
    <t>Mild Steel Hexagonbar *</t>
  </si>
  <si>
    <t>Ø11</t>
  </si>
  <si>
    <t>Ø17</t>
  </si>
  <si>
    <t>Ø19</t>
  </si>
  <si>
    <t>Ø22</t>
  </si>
  <si>
    <t>Ø24</t>
  </si>
  <si>
    <t>Ø27</t>
  </si>
  <si>
    <t>Mild Steel T -Angle</t>
  </si>
  <si>
    <t>38 x 38 x 5</t>
  </si>
  <si>
    <t>50 x 50 x 6</t>
  </si>
  <si>
    <t>Mild Steel Angle Iron</t>
  </si>
  <si>
    <t>R22.29</t>
  </si>
  <si>
    <t>25 x 25 x 5</t>
  </si>
  <si>
    <t>R29.65</t>
  </si>
  <si>
    <t xml:space="preserve">                     </t>
  </si>
  <si>
    <t>R21.65</t>
  </si>
  <si>
    <t>R40.07</t>
  </si>
  <si>
    <t>R32.71</t>
  </si>
  <si>
    <t>40 x 40 x 5</t>
  </si>
  <si>
    <t>R52.09</t>
  </si>
  <si>
    <t>R46.29</t>
  </si>
  <si>
    <t>R68.33</t>
  </si>
  <si>
    <t>60 x 60 x 6</t>
  </si>
  <si>
    <t>R90.14</t>
  </si>
  <si>
    <t>70 x 70 x 6</t>
  </si>
  <si>
    <t>R132.57</t>
  </si>
  <si>
    <t>70 x 70 x 8</t>
  </si>
  <si>
    <t>R173.68</t>
  </si>
  <si>
    <t>80 x 80 x 6</t>
  </si>
  <si>
    <t>R126.37</t>
  </si>
  <si>
    <t xml:space="preserve">      </t>
  </si>
  <si>
    <t>100 x 100 x 8</t>
  </si>
  <si>
    <t>R287.98</t>
  </si>
  <si>
    <t>200 x 200 x 16</t>
  </si>
  <si>
    <t>Mild Steel Unequal Angle Iron</t>
  </si>
  <si>
    <t>75 x 50 x 8</t>
  </si>
  <si>
    <t>R130.50</t>
  </si>
  <si>
    <t>75 x 125 x 8</t>
  </si>
  <si>
    <t>R124.00</t>
  </si>
  <si>
    <t>80 x 60 x 6</t>
  </si>
  <si>
    <t>150 x 76 x 10</t>
  </si>
  <si>
    <t xml:space="preserve">                                                    </t>
  </si>
  <si>
    <t>Key Steel</t>
  </si>
  <si>
    <t>3 x 3</t>
  </si>
  <si>
    <t>4 x 4</t>
  </si>
  <si>
    <t>5 x 5</t>
  </si>
  <si>
    <t>R9.60</t>
  </si>
  <si>
    <t>R13.77</t>
  </si>
  <si>
    <t>6.5 x 6.5</t>
  </si>
  <si>
    <t>7 x 8</t>
  </si>
  <si>
    <t>R54.00</t>
  </si>
  <si>
    <t>R24.35</t>
  </si>
  <si>
    <t>8 x 20</t>
  </si>
  <si>
    <t>10 x 10</t>
  </si>
  <si>
    <t>R73.00</t>
  </si>
  <si>
    <t>R54.81</t>
  </si>
  <si>
    <t>12.8 x 12.8</t>
  </si>
  <si>
    <t>14 x 9</t>
  </si>
  <si>
    <t>R52.38</t>
  </si>
  <si>
    <t>Brass Solid</t>
  </si>
  <si>
    <t>Ø5</t>
  </si>
  <si>
    <t>R33.33</t>
  </si>
  <si>
    <t>R36.67</t>
  </si>
  <si>
    <t>R41.80</t>
  </si>
  <si>
    <t>R83.33</t>
  </si>
  <si>
    <t>R510.00</t>
  </si>
  <si>
    <t>R680.00</t>
  </si>
  <si>
    <t>R425.00</t>
  </si>
  <si>
    <t>R521.00</t>
  </si>
  <si>
    <t>R935.00</t>
  </si>
  <si>
    <t>R1 445.00</t>
  </si>
  <si>
    <t>R2 755.00</t>
  </si>
  <si>
    <t>R2 890.00</t>
  </si>
  <si>
    <t>Ø110</t>
  </si>
  <si>
    <t>R12 075.00</t>
  </si>
  <si>
    <t>R16 625.00</t>
  </si>
  <si>
    <t>Brass Hexagon</t>
  </si>
  <si>
    <t>R50.00</t>
  </si>
  <si>
    <t>7 x 7</t>
  </si>
  <si>
    <t>R60.00</t>
  </si>
  <si>
    <t>13 x 13</t>
  </si>
  <si>
    <t>R117.00</t>
  </si>
  <si>
    <t>Brass Rectangular</t>
  </si>
  <si>
    <t>77 x 7</t>
  </si>
  <si>
    <t>R446.00</t>
  </si>
  <si>
    <t>Brass Square</t>
  </si>
  <si>
    <t>Brass Sheeting</t>
  </si>
  <si>
    <t>55 x 0.5</t>
  </si>
  <si>
    <t>R250.00</t>
  </si>
  <si>
    <t>Copper Solid</t>
  </si>
  <si>
    <t>Ø63</t>
  </si>
  <si>
    <t>Copper Square</t>
  </si>
  <si>
    <t>Copper Flatbar</t>
  </si>
  <si>
    <t>35 x 0.9</t>
  </si>
  <si>
    <t>75 x 1.5</t>
  </si>
  <si>
    <t>Phosfor Bronze</t>
  </si>
  <si>
    <r>
      <rPr>
        <rFont val="&quot;Comic Sans MS&quot;"/>
        <color rgb="FF000000"/>
        <sz val="14.0"/>
      </rPr>
      <t>ø</t>
    </r>
    <r>
      <rPr>
        <rFont val="&quot;Comic Sans MS&quot;"/>
        <color rgb="FF000000"/>
      </rPr>
      <t>32.5</t>
    </r>
  </si>
  <si>
    <t>Ø33</t>
  </si>
  <si>
    <t>Ø36</t>
  </si>
  <si>
    <t>Ø46</t>
  </si>
  <si>
    <t>R19 713.60</t>
  </si>
  <si>
    <t>PVC Solid</t>
  </si>
  <si>
    <t>R9.24</t>
  </si>
  <si>
    <t>R14.35</t>
  </si>
  <si>
    <t>Ø15</t>
  </si>
  <si>
    <t>R31.99</t>
  </si>
  <si>
    <t>R40.33</t>
  </si>
  <si>
    <t>Ø21</t>
  </si>
  <si>
    <t>R45.97</t>
  </si>
  <si>
    <t>R89.62</t>
  </si>
  <si>
    <t>R248.17</t>
  </si>
  <si>
    <t>Ø66</t>
  </si>
  <si>
    <t>R282.91</t>
  </si>
  <si>
    <t>R435.07</t>
  </si>
  <si>
    <t>Perspex Solid</t>
  </si>
  <si>
    <t>Ø2</t>
  </si>
  <si>
    <t>R6.80</t>
  </si>
  <si>
    <t>R10.30</t>
  </si>
  <si>
    <t>R18.35</t>
  </si>
  <si>
    <t>R40.57</t>
  </si>
  <si>
    <t>R84.04</t>
  </si>
  <si>
    <t>R138.14</t>
  </si>
  <si>
    <t>R263.07</t>
  </si>
  <si>
    <t>R356.78</t>
  </si>
  <si>
    <t>Ø61</t>
  </si>
  <si>
    <t>R781.96</t>
  </si>
  <si>
    <t>Perspex Pipe</t>
  </si>
  <si>
    <t>R21.14</t>
  </si>
  <si>
    <t>6 x 1.5</t>
  </si>
  <si>
    <t>R20.44</t>
  </si>
  <si>
    <t>9 x 2</t>
  </si>
  <si>
    <t>R27.82</t>
  </si>
  <si>
    <t>12 x 2</t>
  </si>
  <si>
    <t>R29.94</t>
  </si>
  <si>
    <t>15 x 1.5</t>
  </si>
  <si>
    <t>R26.06</t>
  </si>
  <si>
    <t>15 x 2</t>
  </si>
  <si>
    <t>R38.40</t>
  </si>
  <si>
    <t>16 x 1.8</t>
  </si>
  <si>
    <t>R42.96</t>
  </si>
  <si>
    <t>R90.86</t>
  </si>
  <si>
    <t>R70.06</t>
  </si>
  <si>
    <t>25 x 3.5</t>
  </si>
  <si>
    <t>30 x 2</t>
  </si>
  <si>
    <t>R60.92</t>
  </si>
  <si>
    <t>40 x 2</t>
  </si>
  <si>
    <t>R820.06</t>
  </si>
  <si>
    <t>R232.04</t>
  </si>
  <si>
    <t>60 x 3</t>
  </si>
  <si>
    <t>62 x 2</t>
  </si>
  <si>
    <t>70 x 3</t>
  </si>
  <si>
    <t>80 x 5</t>
  </si>
  <si>
    <t>90 x 5</t>
  </si>
  <si>
    <t>100 x 5</t>
  </si>
  <si>
    <t>130 x 5</t>
  </si>
  <si>
    <t>150 x 5</t>
  </si>
  <si>
    <t>Extrusion</t>
  </si>
  <si>
    <t>R743.50</t>
  </si>
  <si>
    <t>45 x 45</t>
  </si>
  <si>
    <t>Vesconite</t>
  </si>
  <si>
    <t>R460.46</t>
  </si>
  <si>
    <t>25mm</t>
  </si>
  <si>
    <t>30mm</t>
  </si>
  <si>
    <t>35mm</t>
  </si>
  <si>
    <t>40mm</t>
  </si>
  <si>
    <t>50mm</t>
  </si>
  <si>
    <t>90mm</t>
  </si>
  <si>
    <t>Silver Steel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</si>
</sst>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&quot;\ #,##0.00"/>
  </numFmts>
  <fonts count="26">
    <font>
      <sz val="11.0"/>
      <color theme="1"/>
      <name val="Calibri"/>
      <scheme val="minor"/>
    </font>
    <font>
      <b/>
      <u/>
      <color rgb="FF000000"/>
      <name val="Comic Sans MS"/>
    </font>
    <font>
      <b/>
      <u/>
      <color rgb="FF000000"/>
      <name val="Comic Sans MS"/>
    </font>
    <font>
      <sz val="11.0"/>
      <color rgb="FF000000"/>
      <name val="Arial"/>
    </font>
    <font>
      <sz val="11.0"/>
      <color rgb="FF000000"/>
      <name val="Calibri"/>
    </font>
    <font>
      <b/>
      <u/>
      <color rgb="FF000000"/>
      <name val="Comic Sans MS"/>
    </font>
    <font>
      <b/>
      <sz val="11.0"/>
      <color rgb="FF000000"/>
      <name val="Comic Sans MS"/>
    </font>
    <font>
      <b/>
      <color rgb="FF000000"/>
      <name val="Comic Sans MS"/>
    </font>
    <font>
      <b/>
      <sz val="14.0"/>
      <color rgb="FFFFFFFF"/>
      <name val="Comic Sans MS"/>
    </font>
    <font>
      <b/>
      <sz val="11.0"/>
      <color rgb="FFFFFFFF"/>
      <name val="Calibri"/>
    </font>
    <font>
      <sz val="11.0"/>
      <color rgb="FFFFFFFF"/>
      <name val="Calibri"/>
    </font>
    <font>
      <b/>
      <u/>
      <color rgb="FF000000"/>
      <name val="Comic Sans MS"/>
    </font>
    <font>
      <b/>
      <u/>
      <color rgb="FF000000"/>
      <name val="Comic Sans MS"/>
    </font>
    <font>
      <color rgb="FF000000"/>
      <name val="Comic Sans MS"/>
    </font>
    <font>
      <color theme="1"/>
      <name val="Calibri"/>
    </font>
    <font>
      <color rgb="FF000000"/>
      <name val="Calibri"/>
    </font>
    <font>
      <sz val="11.0"/>
      <color theme="1"/>
      <name val="Comic Sans MS"/>
    </font>
    <font>
      <sz val="11.0"/>
      <color theme="1"/>
      <name val="Calibri"/>
    </font>
    <font>
      <sz val="11.0"/>
      <color rgb="FF000000"/>
      <name val="Comic Sans MS"/>
    </font>
    <font>
      <sz val="12.0"/>
      <color rgb="FF000000"/>
      <name val="Comic Sans MS"/>
    </font>
    <font>
      <color rgb="FF000000"/>
      <name val="Arial"/>
    </font>
    <font>
      <sz val="12.0"/>
      <color rgb="FF000000"/>
      <name val="Calibri"/>
    </font>
    <font>
      <sz val="14.0"/>
      <color rgb="FF000000"/>
      <name val="Calibri"/>
    </font>
    <font>
      <color theme="1"/>
      <name val="Comic Sans MS"/>
    </font>
    <font>
      <b/>
      <color rgb="FFFF0000"/>
      <name val="Comic Sans MS"/>
    </font>
    <font>
      <u/>
      <color rgb="FF000000"/>
      <name val="Comic Sans MS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3" fontId="6" numFmtId="0" xfId="0" applyAlignment="1" applyBorder="1" applyFont="1">
      <alignment horizontal="left" shrinkToFit="0" wrapText="0"/>
    </xf>
    <xf borderId="1" fillId="3" fontId="7" numFmtId="0" xfId="0" applyAlignment="1" applyBorder="1" applyFont="1">
      <alignment horizontal="left" shrinkToFit="0" wrapText="0"/>
    </xf>
    <xf borderId="1" fillId="3" fontId="8" numFmtId="0" xfId="0" applyAlignment="1" applyBorder="1" applyFont="1">
      <alignment horizontal="left" shrinkToFit="0" wrapText="0"/>
    </xf>
    <xf borderId="1" fillId="3" fontId="9" numFmtId="0" xfId="0" applyAlignment="1" applyBorder="1" applyFont="1">
      <alignment horizontal="right" shrinkToFit="0" wrapText="0"/>
    </xf>
    <xf borderId="1" fillId="3" fontId="10" numFmtId="0" xfId="0" applyAlignment="1" applyBorder="1" applyFont="1">
      <alignment shrinkToFit="0" vertical="bottom" wrapText="0"/>
    </xf>
    <xf borderId="0" fillId="2" fontId="11" numFmtId="0" xfId="0" applyAlignment="1" applyFont="1">
      <alignment shrinkToFit="0" vertical="bottom" wrapText="0"/>
    </xf>
    <xf borderId="0" fillId="2" fontId="12" numFmtId="0" xfId="0" applyAlignment="1" applyFont="1">
      <alignment horizontal="center" shrinkToFit="0" vertical="bottom" wrapText="0"/>
    </xf>
    <xf borderId="0" fillId="2" fontId="6" numFmtId="0" xfId="0" applyAlignment="1" applyFont="1">
      <alignment horizontal="left" shrinkToFit="0" wrapText="0"/>
    </xf>
    <xf borderId="0" fillId="2" fontId="7" numFmtId="0" xfId="0" applyAlignment="1" applyFont="1">
      <alignment horizontal="left" shrinkToFit="0" wrapText="0"/>
    </xf>
    <xf borderId="0" fillId="2" fontId="8" numFmtId="0" xfId="0" applyAlignment="1" applyFont="1">
      <alignment horizontal="left" shrinkToFit="0" wrapText="0"/>
    </xf>
    <xf borderId="0" fillId="2" fontId="9" numFmtId="0" xfId="0" applyAlignment="1" applyFont="1">
      <alignment horizontal="right" shrinkToFit="0" wrapText="0"/>
    </xf>
    <xf borderId="1" fillId="2" fontId="10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2" fillId="3" fontId="13" numFmtId="0" xfId="0" applyAlignment="1" applyBorder="1" applyFont="1">
      <alignment horizontal="center" shrinkToFit="0" vertical="bottom" wrapText="0"/>
    </xf>
    <xf borderId="3" fillId="3" fontId="13" numFmtId="0" xfId="0" applyAlignment="1" applyBorder="1" applyFont="1">
      <alignment horizontal="right" shrinkToFit="0" vertical="bottom" wrapText="0"/>
    </xf>
    <xf borderId="3" fillId="4" fontId="13" numFmtId="0" xfId="0" applyAlignment="1" applyBorder="1" applyFill="1" applyFont="1">
      <alignment horizontal="right" shrinkToFit="0" vertical="bottom" wrapText="0"/>
    </xf>
    <xf borderId="3" fillId="0" fontId="13" numFmtId="0" xfId="0" applyAlignment="1" applyBorder="1" applyFont="1">
      <alignment horizontal="right" shrinkToFit="0" vertical="bottom" wrapText="0"/>
    </xf>
    <xf borderId="3" fillId="0" fontId="13" numFmtId="0" xfId="0" applyAlignment="1" applyBorder="1" applyFont="1">
      <alignment readingOrder="0" shrinkToFit="0" vertical="bottom" wrapText="0"/>
    </xf>
    <xf borderId="3" fillId="0" fontId="13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3" fillId="3" fontId="13" numFmtId="0" xfId="0" applyAlignment="1" applyBorder="1" applyFont="1">
      <alignment horizontal="right" readingOrder="0" shrinkToFit="0" vertical="bottom" wrapText="0"/>
    </xf>
    <xf borderId="3" fillId="0" fontId="13" numFmtId="0" xfId="0" applyAlignment="1" applyBorder="1" applyFont="1">
      <alignment horizontal="right" readingOrder="0" shrinkToFit="0" vertical="bottom" wrapText="0"/>
    </xf>
    <xf borderId="3" fillId="3" fontId="13" numFmtId="164" xfId="0" applyAlignment="1" applyBorder="1" applyFont="1" applyNumberFormat="1">
      <alignment horizontal="right" shrinkToFit="0" vertical="bottom" wrapText="0"/>
    </xf>
    <xf borderId="1" fillId="0" fontId="14" numFmtId="0" xfId="0" applyBorder="1" applyFont="1"/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5" fontId="13" numFmtId="0" xfId="0" applyAlignment="1" applyBorder="1" applyFill="1" applyFont="1">
      <alignment horizontal="center" shrinkToFit="0" vertical="bottom" wrapText="0"/>
    </xf>
    <xf borderId="2" fillId="3" fontId="13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6" fillId="3" fontId="13" numFmtId="0" xfId="0" applyAlignment="1" applyBorder="1" applyFont="1">
      <alignment horizontal="center" shrinkToFit="0" vertical="bottom" wrapText="0"/>
    </xf>
    <xf borderId="2" fillId="3" fontId="13" numFmtId="164" xfId="0" applyAlignment="1" applyBorder="1" applyFont="1" applyNumberFormat="1">
      <alignment readingOrder="0" shrinkToFit="0" vertical="bottom" wrapText="0"/>
    </xf>
    <xf borderId="2" fillId="3" fontId="13" numFmtId="164" xfId="0" applyAlignment="1" applyBorder="1" applyFont="1" applyNumberFormat="1">
      <alignment horizontal="right" shrinkToFit="0" vertical="bottom" wrapText="0"/>
    </xf>
    <xf borderId="3" fillId="3" fontId="13" numFmtId="164" xfId="0" applyAlignment="1" applyBorder="1" applyFont="1" applyNumberFormat="1">
      <alignment horizontal="right" readingOrder="0" shrinkToFit="0" vertical="bottom" wrapText="0"/>
    </xf>
    <xf borderId="3" fillId="3" fontId="13" numFmtId="164" xfId="0" applyAlignment="1" applyBorder="1" applyFont="1" applyNumberFormat="1">
      <alignment shrinkToFit="0" vertical="bottom" wrapText="0"/>
    </xf>
    <xf borderId="3" fillId="4" fontId="13" numFmtId="0" xfId="0" applyAlignment="1" applyBorder="1" applyFont="1">
      <alignment shrinkToFit="0" vertical="bottom" wrapText="0"/>
    </xf>
    <xf borderId="2" fillId="0" fontId="13" numFmtId="0" xfId="0" applyAlignment="1" applyBorder="1" applyFont="1">
      <alignment shrinkToFit="0" vertical="bottom" wrapText="0"/>
    </xf>
    <xf borderId="3" fillId="3" fontId="13" numFmtId="0" xfId="0" applyAlignment="1" applyBorder="1" applyFont="1">
      <alignment shrinkToFit="0" vertical="bottom" wrapText="0"/>
    </xf>
    <xf borderId="2" fillId="6" fontId="13" numFmtId="0" xfId="0" applyAlignment="1" applyBorder="1" applyFill="1" applyFont="1">
      <alignment horizontal="center" shrinkToFit="0" vertical="bottom" wrapText="0"/>
    </xf>
    <xf borderId="4" fillId="0" fontId="13" numFmtId="0" xfId="0" applyAlignment="1" applyBorder="1" applyFont="1">
      <alignment shrinkToFit="0" vertical="bottom" wrapText="0"/>
    </xf>
    <xf borderId="3" fillId="3" fontId="7" numFmtId="164" xfId="0" applyAlignment="1" applyBorder="1" applyFont="1" applyNumberFormat="1">
      <alignment shrinkToFit="0" vertical="bottom" wrapText="0"/>
    </xf>
    <xf borderId="7" fillId="3" fontId="13" numFmtId="0" xfId="0" applyAlignment="1" applyBorder="1" applyFont="1">
      <alignment horizontal="center" shrinkToFit="0" vertical="bottom" wrapText="0"/>
    </xf>
    <xf borderId="0" fillId="0" fontId="15" numFmtId="164" xfId="0" applyAlignment="1" applyFont="1" applyNumberFormat="1">
      <alignment horizontal="right" shrinkToFit="0" vertical="bottom" wrapText="0"/>
    </xf>
    <xf borderId="1" fillId="3" fontId="13" numFmtId="0" xfId="0" applyAlignment="1" applyBorder="1" applyFont="1">
      <alignment horizontal="center" shrinkToFit="0" vertical="bottom" wrapText="0"/>
    </xf>
    <xf borderId="4" fillId="3" fontId="13" numFmtId="164" xfId="0" applyAlignment="1" applyBorder="1" applyFont="1" applyNumberFormat="1">
      <alignment horizontal="right" shrinkToFit="0" vertical="bottom" wrapText="0"/>
    </xf>
    <xf borderId="2" fillId="2" fontId="13" numFmtId="0" xfId="0" applyAlignment="1" applyBorder="1" applyFont="1">
      <alignment horizontal="center" shrinkToFit="0" vertical="bottom" wrapText="0"/>
    </xf>
    <xf borderId="3" fillId="3" fontId="13" numFmtId="0" xfId="0" applyAlignment="1" applyBorder="1" applyFont="1">
      <alignment horizontal="center" shrinkToFit="0" vertical="bottom" wrapText="0"/>
    </xf>
    <xf borderId="1" fillId="3" fontId="16" numFmtId="0" xfId="0" applyAlignment="1" applyBorder="1" applyFont="1">
      <alignment horizontal="center" vertical="bottom"/>
    </xf>
    <xf borderId="4" fillId="3" fontId="16" numFmtId="164" xfId="0" applyAlignment="1" applyBorder="1" applyFont="1" applyNumberFormat="1">
      <alignment horizontal="right" readingOrder="0" vertical="bottom"/>
    </xf>
    <xf borderId="4" fillId="0" fontId="16" numFmtId="0" xfId="0" applyAlignment="1" applyBorder="1" applyFont="1">
      <alignment horizontal="right" readingOrder="0" vertical="bottom"/>
    </xf>
    <xf borderId="4" fillId="0" fontId="16" numFmtId="0" xfId="0" applyAlignment="1" applyBorder="1" applyFont="1">
      <alignment horizontal="right" vertical="bottom"/>
    </xf>
    <xf borderId="4" fillId="0" fontId="17" numFmtId="0" xfId="0" applyAlignment="1" applyBorder="1" applyFont="1">
      <alignment vertical="bottom"/>
    </xf>
    <xf borderId="2" fillId="3" fontId="18" numFmtId="0" xfId="0" applyAlignment="1" applyBorder="1" applyFont="1">
      <alignment horizontal="center" shrinkToFit="0" vertical="bottom" wrapText="0"/>
    </xf>
    <xf borderId="3" fillId="0" fontId="4" numFmtId="164" xfId="0" applyAlignment="1" applyBorder="1" applyFont="1" applyNumberFormat="1">
      <alignment shrinkToFit="0" vertical="bottom" wrapText="0"/>
    </xf>
    <xf borderId="3" fillId="2" fontId="13" numFmtId="0" xfId="0" applyAlignment="1" applyBorder="1" applyFont="1">
      <alignment shrinkToFit="0" vertical="bottom" wrapText="0"/>
    </xf>
    <xf borderId="3" fillId="0" fontId="18" numFmtId="164" xfId="0" applyAlignment="1" applyBorder="1" applyFont="1" applyNumberFormat="1">
      <alignment shrinkToFit="0" vertical="bottom" wrapText="0"/>
    </xf>
    <xf borderId="3" fillId="0" fontId="18" numFmtId="164" xfId="0" applyAlignment="1" applyBorder="1" applyFont="1" applyNumberFormat="1">
      <alignment horizontal="right" shrinkToFit="0" vertical="bottom" wrapText="0"/>
    </xf>
    <xf borderId="3" fillId="3" fontId="18" numFmtId="164" xfId="0" applyAlignment="1" applyBorder="1" applyFont="1" applyNumberFormat="1">
      <alignment horizontal="right" shrinkToFit="0" vertical="bottom" wrapText="0"/>
    </xf>
    <xf borderId="2" fillId="3" fontId="19" numFmtId="0" xfId="0" applyAlignment="1" applyBorder="1" applyFont="1">
      <alignment horizontal="center" shrinkToFit="0" vertical="bottom" wrapText="0"/>
    </xf>
    <xf borderId="8" fillId="3" fontId="18" numFmtId="0" xfId="0" applyAlignment="1" applyBorder="1" applyFont="1">
      <alignment horizontal="right" shrinkToFit="0" vertical="bottom" wrapText="0"/>
    </xf>
    <xf borderId="3" fillId="3" fontId="18" numFmtId="0" xfId="0" applyAlignment="1" applyBorder="1" applyFont="1">
      <alignment horizontal="right" shrinkToFit="0" vertical="bottom" wrapText="0"/>
    </xf>
    <xf borderId="3" fillId="3" fontId="18" numFmtId="164" xfId="0" applyAlignment="1" applyBorder="1" applyFont="1" applyNumberFormat="1">
      <alignment shrinkToFit="0" vertical="bottom" wrapText="0"/>
    </xf>
    <xf borderId="0" fillId="0" fontId="18" numFmtId="164" xfId="0" applyAlignment="1" applyFont="1" applyNumberFormat="1">
      <alignment horizontal="right" shrinkToFit="0" vertical="bottom" wrapText="0"/>
    </xf>
    <xf borderId="4" fillId="3" fontId="18" numFmtId="164" xfId="0" applyAlignment="1" applyBorder="1" applyFont="1" applyNumberFormat="1">
      <alignment horizontal="right" shrinkToFit="0" vertical="bottom" wrapText="0"/>
    </xf>
    <xf borderId="0" fillId="3" fontId="18" numFmtId="164" xfId="0" applyAlignment="1" applyFont="1" applyNumberFormat="1">
      <alignment horizontal="right" shrinkToFit="0" vertical="bottom" wrapText="0"/>
    </xf>
    <xf borderId="6" fillId="2" fontId="13" numFmtId="0" xfId="0" applyAlignment="1" applyBorder="1" applyFont="1">
      <alignment horizontal="center" shrinkToFit="0" vertical="bottom" wrapText="0"/>
    </xf>
    <xf borderId="2" fillId="0" fontId="4" numFmtId="164" xfId="0" applyAlignment="1" applyBorder="1" applyFont="1" applyNumberFormat="1">
      <alignment horizontal="right" shrinkToFit="0" vertical="bottom" wrapText="0"/>
    </xf>
    <xf borderId="9" fillId="0" fontId="13" numFmtId="0" xfId="0" applyAlignment="1" applyBorder="1" applyFont="1">
      <alignment horizontal="center" shrinkToFit="0" vertical="bottom" wrapText="0"/>
    </xf>
    <xf borderId="2" fillId="3" fontId="13" numFmtId="164" xfId="0" applyAlignment="1" applyBorder="1" applyFont="1" applyNumberFormat="1">
      <alignment shrinkToFit="0" vertical="bottom" wrapText="0"/>
    </xf>
    <xf borderId="6" fillId="7" fontId="13" numFmtId="0" xfId="0" applyAlignment="1" applyBorder="1" applyFill="1" applyFont="1">
      <alignment horizontal="center" shrinkToFit="0" vertical="bottom" wrapText="0"/>
    </xf>
    <xf borderId="6" fillId="0" fontId="13" numFmtId="0" xfId="0" applyAlignment="1" applyBorder="1" applyFont="1">
      <alignment horizontal="center" shrinkToFit="0" vertical="bottom" wrapText="0"/>
    </xf>
    <xf borderId="3" fillId="0" fontId="4" numFmtId="164" xfId="0" applyAlignment="1" applyBorder="1" applyFont="1" applyNumberFormat="1">
      <alignment horizontal="right" shrinkToFit="0" vertical="bottom" wrapText="0"/>
    </xf>
    <xf borderId="3" fillId="2" fontId="4" numFmtId="0" xfId="0" applyAlignment="1" applyBorder="1" applyFont="1">
      <alignment shrinkToFit="0" vertical="bottom" wrapText="0"/>
    </xf>
    <xf borderId="2" fillId="0" fontId="13" numFmtId="0" xfId="0" applyAlignment="1" applyBorder="1" applyFont="1">
      <alignment horizontal="center" shrinkToFit="0" vertical="bottom" wrapText="0"/>
    </xf>
    <xf borderId="3" fillId="0" fontId="18" numFmtId="164" xfId="0" applyAlignment="1" applyBorder="1" applyFont="1" applyNumberFormat="1">
      <alignment horizontal="right" readingOrder="0" shrinkToFit="0" vertical="bottom" wrapText="0"/>
    </xf>
    <xf borderId="1" fillId="0" fontId="18" numFmtId="0" xfId="0" applyAlignment="1" applyBorder="1" applyFont="1">
      <alignment horizontal="right" vertical="bottom"/>
    </xf>
    <xf borderId="1" fillId="0" fontId="18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vertical="bottom"/>
    </xf>
    <xf borderId="8" fillId="0" fontId="13" numFmtId="0" xfId="0" applyAlignment="1" applyBorder="1" applyFont="1">
      <alignment horizontal="right" shrinkToFit="0" vertical="bottom" wrapText="0"/>
    </xf>
    <xf borderId="3" fillId="0" fontId="13" numFmtId="0" xfId="0" applyAlignment="1" applyBorder="1" applyFont="1">
      <alignment horizontal="center" shrinkToFit="0" vertical="bottom" wrapText="0"/>
    </xf>
    <xf borderId="4" fillId="0" fontId="13" numFmtId="0" xfId="0" applyAlignment="1" applyBorder="1" applyFont="1">
      <alignment horizontal="right" shrinkToFit="0" vertical="bottom" wrapText="0"/>
    </xf>
    <xf borderId="2" fillId="0" fontId="15" numFmtId="164" xfId="0" applyAlignment="1" applyBorder="1" applyFont="1" applyNumberFormat="1">
      <alignment shrinkToFit="0" vertical="bottom" wrapText="0"/>
    </xf>
    <xf borderId="2" fillId="0" fontId="4" numFmtId="164" xfId="0" applyAlignment="1" applyBorder="1" applyFont="1" applyNumberFormat="1">
      <alignment shrinkToFit="0" vertical="bottom" wrapText="0"/>
    </xf>
    <xf borderId="3" fillId="4" fontId="13" numFmtId="0" xfId="0" applyAlignment="1" applyBorder="1" applyFont="1">
      <alignment horizontal="right" readingOrder="0" shrinkToFit="0" vertical="bottom" wrapText="0"/>
    </xf>
    <xf borderId="3" fillId="0" fontId="15" numFmtId="164" xfId="0" applyAlignment="1" applyBorder="1" applyFont="1" applyNumberFormat="1">
      <alignment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8" fillId="3" fontId="13" numFmtId="164" xfId="0" applyAlignment="1" applyBorder="1" applyFont="1" applyNumberFormat="1">
      <alignment horizontal="right" shrinkToFit="0" vertical="bottom" wrapText="0"/>
    </xf>
    <xf borderId="8" fillId="3" fontId="13" numFmtId="164" xfId="0" applyAlignment="1" applyBorder="1" applyFont="1" applyNumberFormat="1">
      <alignment horizontal="right" readingOrder="0" shrinkToFit="0" vertical="bottom" wrapText="0"/>
    </xf>
    <xf borderId="4" fillId="3" fontId="13" numFmtId="164" xfId="0" applyAlignment="1" applyBorder="1" applyFont="1" applyNumberFormat="1">
      <alignment horizontal="right" readingOrder="0" shrinkToFit="0" vertical="bottom" wrapText="0"/>
    </xf>
    <xf borderId="3" fillId="0" fontId="15" numFmtId="164" xfId="0" applyAlignment="1" applyBorder="1" applyFont="1" applyNumberFormat="1">
      <alignment horizontal="right" shrinkToFit="0" vertical="bottom" wrapText="0"/>
    </xf>
    <xf borderId="2" fillId="3" fontId="20" numFmtId="0" xfId="0" applyAlignment="1" applyBorder="1" applyFont="1">
      <alignment horizontal="center" shrinkToFit="0" vertical="bottom" wrapText="0"/>
    </xf>
    <xf borderId="3" fillId="3" fontId="4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shrinkToFit="0" vertical="bottom" wrapText="0"/>
    </xf>
    <xf borderId="2" fillId="3" fontId="4" numFmtId="0" xfId="0" applyAlignment="1" applyBorder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2" fillId="7" fontId="13" numFmtId="0" xfId="0" applyAlignment="1" applyBorder="1" applyFont="1">
      <alignment horizontal="center" shrinkToFit="0" vertical="bottom" wrapText="0"/>
    </xf>
    <xf borderId="3" fillId="3" fontId="15" numFmtId="164" xfId="0" applyAlignment="1" applyBorder="1" applyFont="1" applyNumberFormat="1">
      <alignment horizontal="right" shrinkToFit="0" vertical="bottom" wrapText="0"/>
    </xf>
    <xf borderId="3" fillId="2" fontId="13" numFmtId="0" xfId="0" applyAlignment="1" applyBorder="1" applyFont="1">
      <alignment horizontal="right" shrinkToFit="0" vertical="bottom" wrapText="0"/>
    </xf>
    <xf borderId="2" fillId="3" fontId="13" numFmtId="0" xfId="0" applyAlignment="1" applyBorder="1" applyFont="1">
      <alignment shrinkToFit="0" vertical="bottom" wrapText="0"/>
    </xf>
    <xf borderId="4" fillId="3" fontId="13" numFmtId="0" xfId="0" applyAlignment="1" applyBorder="1" applyFont="1">
      <alignment shrinkToFit="0" vertical="bottom" wrapText="0"/>
    </xf>
    <xf borderId="1" fillId="3" fontId="13" numFmtId="0" xfId="0" applyAlignment="1" applyBorder="1" applyFont="1">
      <alignment horizontal="right" shrinkToFit="0" vertical="bottom" wrapText="0"/>
    </xf>
    <xf borderId="1" fillId="3" fontId="13" numFmtId="0" xfId="0" applyAlignment="1" applyBorder="1" applyFont="1">
      <alignment shrinkToFit="0" vertical="bottom" wrapText="0"/>
    </xf>
    <xf borderId="4" fillId="3" fontId="13" numFmtId="0" xfId="0" applyAlignment="1" applyBorder="1" applyFont="1">
      <alignment horizontal="right" shrinkToFit="0" vertical="bottom" wrapText="0"/>
    </xf>
    <xf borderId="5" fillId="0" fontId="13" numFmtId="0" xfId="0" applyAlignment="1" applyBorder="1" applyFont="1">
      <alignment horizontal="right" shrinkToFit="0" vertical="bottom" wrapText="0"/>
    </xf>
    <xf borderId="2" fillId="0" fontId="13" numFmtId="0" xfId="0" applyAlignment="1" applyBorder="1" applyFont="1">
      <alignment horizontal="right" shrinkToFit="0" vertical="bottom" wrapText="0"/>
    </xf>
    <xf borderId="3" fillId="3" fontId="13" numFmtId="0" xfId="0" applyAlignment="1" applyBorder="1" applyFont="1">
      <alignment readingOrder="0" shrinkToFit="0" vertical="bottom" wrapText="0"/>
    </xf>
    <xf borderId="8" fillId="0" fontId="13" numFmtId="0" xfId="0" applyAlignment="1" applyBorder="1" applyFont="1">
      <alignment readingOrder="0" shrinkToFit="0" vertical="bottom" wrapText="0"/>
    </xf>
    <xf borderId="8" fillId="0" fontId="13" numFmtId="0" xfId="0" applyAlignment="1" applyBorder="1" applyFont="1">
      <alignment shrinkToFit="0" vertical="bottom" wrapText="0"/>
    </xf>
    <xf borderId="2" fillId="0" fontId="18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3" fillId="0" fontId="13" numFmtId="164" xfId="0" applyAlignment="1" applyBorder="1" applyFont="1" applyNumberFormat="1">
      <alignment horizontal="right" shrinkToFit="0" vertical="bottom" wrapText="0"/>
    </xf>
    <xf borderId="4" fillId="0" fontId="13" numFmtId="0" xfId="0" applyAlignment="1" applyBorder="1" applyFont="1">
      <alignment readingOrder="0" shrinkToFit="0" vertical="bottom" wrapText="0"/>
    </xf>
    <xf borderId="0" fillId="0" fontId="16" numFmtId="0" xfId="0" applyAlignment="1" applyFont="1">
      <alignment horizontal="right"/>
    </xf>
    <xf borderId="1" fillId="3" fontId="13" numFmtId="164" xfId="0" applyAlignment="1" applyBorder="1" applyFont="1" applyNumberFormat="1">
      <alignment horizontal="right" shrinkToFit="0" vertical="bottom" wrapText="0"/>
    </xf>
    <xf borderId="3" fillId="3" fontId="21" numFmtId="164" xfId="0" applyAlignment="1" applyBorder="1" applyFont="1" applyNumberFormat="1">
      <alignment horizontal="right" shrinkToFit="0" vertical="bottom" wrapText="0"/>
    </xf>
    <xf borderId="3" fillId="0" fontId="13" numFmtId="0" xfId="0" applyAlignment="1" applyBorder="1" applyFont="1">
      <alignment horizontal="center" readingOrder="0" shrinkToFit="0" vertical="bottom" wrapText="0"/>
    </xf>
    <xf borderId="1" fillId="0" fontId="16" numFmtId="0" xfId="0" applyAlignment="1" applyBorder="1" applyFont="1">
      <alignment horizontal="center" vertical="bottom"/>
    </xf>
    <xf borderId="4" fillId="0" fontId="16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shrinkToFit="0" vertical="bottom" wrapText="0"/>
    </xf>
    <xf borderId="3" fillId="0" fontId="16" numFmtId="0" xfId="0" applyAlignment="1" applyBorder="1" applyFont="1">
      <alignment horizontal="right" vertical="bottom"/>
    </xf>
    <xf borderId="10" fillId="0" fontId="4" numFmtId="0" xfId="0" applyAlignment="1" applyBorder="1" applyFont="1">
      <alignment shrinkToFit="0" vertical="bottom" wrapText="0"/>
    </xf>
    <xf borderId="2" fillId="0" fontId="16" numFmtId="0" xfId="0" applyAlignment="1" applyBorder="1" applyFont="1">
      <alignment horizontal="right" vertical="bottom"/>
    </xf>
    <xf borderId="5" fillId="0" fontId="13" numFmtId="0" xfId="0" applyAlignment="1" applyBorder="1" applyFont="1">
      <alignment shrinkToFit="0" vertical="bottom" wrapText="0"/>
    </xf>
    <xf borderId="3" fillId="7" fontId="13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3" fillId="0" fontId="21" numFmtId="164" xfId="0" applyAlignment="1" applyBorder="1" applyFont="1" applyNumberFormat="1">
      <alignment horizontal="right" shrinkToFit="0" vertical="bottom" wrapText="0"/>
    </xf>
    <xf borderId="4" fillId="0" fontId="13" numFmtId="0" xfId="0" applyAlignment="1" applyBorder="1" applyFont="1">
      <alignment horizontal="center" shrinkToFit="0" vertical="bottom" wrapText="0"/>
    </xf>
    <xf borderId="2" fillId="0" fontId="22" numFmtId="0" xfId="0" applyAlignment="1" applyBorder="1" applyFont="1">
      <alignment horizontal="center" shrinkToFit="0" vertical="bottom" wrapText="0"/>
    </xf>
    <xf borderId="2" fillId="0" fontId="13" numFmtId="0" xfId="0" applyAlignment="1" applyBorder="1" applyFont="1">
      <alignment horizontal="center" readingOrder="0" shrinkToFit="0" vertical="bottom" wrapText="0"/>
    </xf>
    <xf borderId="1" fillId="0" fontId="23" numFmtId="0" xfId="0" applyAlignment="1" applyBorder="1" applyFont="1">
      <alignment horizontal="right"/>
    </xf>
    <xf borderId="1" fillId="0" fontId="4" numFmtId="0" xfId="0" applyAlignment="1" applyBorder="1" applyFont="1">
      <alignment horizontal="center" shrinkToFit="0" vertical="bottom" wrapText="0"/>
    </xf>
    <xf borderId="1" fillId="3" fontId="18" numFmtId="0" xfId="0" applyAlignment="1" applyBorder="1" applyFont="1">
      <alignment horizontal="center"/>
    </xf>
    <xf borderId="3" fillId="3" fontId="24" numFmtId="164" xfId="0" applyAlignment="1" applyBorder="1" applyFont="1" applyNumberFormat="1">
      <alignment shrinkToFit="0" vertical="bottom" wrapText="0"/>
    </xf>
    <xf borderId="3" fillId="0" fontId="13" numFmtId="164" xfId="0" applyAlignment="1" applyBorder="1" applyFont="1" applyNumberFormat="1">
      <alignment shrinkToFit="0" vertical="bottom" wrapText="0"/>
    </xf>
    <xf borderId="3" fillId="3" fontId="13" numFmtId="0" xfId="0" applyAlignment="1" applyBorder="1" applyFont="1">
      <alignment horizontal="left" shrinkToFit="0" vertical="bottom" wrapText="0"/>
    </xf>
    <xf borderId="8" fillId="0" fontId="13" numFmtId="0" xfId="0" applyAlignment="1" applyBorder="1" applyFont="1">
      <alignment horizontal="center" shrinkToFit="0" vertical="bottom" wrapText="0"/>
    </xf>
    <xf borderId="4" fillId="0" fontId="18" numFmtId="0" xfId="0" applyAlignment="1" applyBorder="1" applyFont="1">
      <alignment shrinkToFit="0" vertical="bottom" wrapText="0"/>
    </xf>
    <xf borderId="3" fillId="7" fontId="13" numFmtId="0" xfId="0" applyAlignment="1" applyBorder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2" fillId="0" fontId="15" numFmtId="0" xfId="0" applyAlignment="1" applyBorder="1" applyFont="1">
      <alignment horizontal="center" shrinkToFit="0" vertical="bottom" wrapText="0"/>
    </xf>
    <xf borderId="2" fillId="3" fontId="7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right" shrinkToFit="0" vertical="bottom" wrapText="0"/>
    </xf>
    <xf borderId="4" fillId="3" fontId="7" numFmtId="0" xfId="0" applyAlignment="1" applyBorder="1" applyFont="1">
      <alignment shrinkToFit="0" vertical="bottom" wrapText="0"/>
    </xf>
    <xf borderId="3" fillId="0" fontId="15" numFmtId="0" xfId="0" applyAlignment="1" applyBorder="1" applyFont="1">
      <alignment horizontal="right" shrinkToFit="0" vertical="bottom" wrapText="0"/>
    </xf>
    <xf borderId="3" fillId="0" fontId="4" numFmtId="0" xfId="0" applyAlignment="1" applyBorder="1" applyFont="1">
      <alignment horizontal="right" shrinkToFit="0" vertical="bottom" wrapText="0"/>
    </xf>
    <xf borderId="1" fillId="3" fontId="25" numFmtId="0" xfId="0" applyAlignment="1" applyBorder="1" applyFont="1">
      <alignment horizontal="right" shrinkToFit="0" vertical="bottom" wrapText="0"/>
    </xf>
    <xf borderId="6" fillId="5" fontId="13" numFmtId="0" xfId="0" applyAlignment="1" applyBorder="1" applyFont="1">
      <alignment horizontal="center" shrinkToFit="0" vertical="bottom" wrapText="0"/>
    </xf>
    <xf borderId="3" fillId="0" fontId="18" numFmtId="0" xfId="0" applyAlignment="1" applyBorder="1" applyFont="1">
      <alignment horizontal="center" shrinkToFit="0" vertical="bottom" wrapText="0"/>
    </xf>
    <xf borderId="5" fillId="0" fontId="18" numFmtId="0" xfId="0" applyAlignment="1" applyBorder="1" applyFont="1">
      <alignment horizontal="center" shrinkToFit="0" vertical="bottom" wrapText="0"/>
    </xf>
    <xf borderId="2" fillId="0" fontId="18" numFmtId="0" xfId="0" applyAlignment="1" applyBorder="1" applyFont="1">
      <alignment shrinkToFit="0" vertical="bottom" wrapText="0"/>
    </xf>
    <xf borderId="0" fillId="0" fontId="18" numFmtId="0" xfId="0" applyAlignment="1" applyFont="1">
      <alignment horizontal="center" shrinkToFit="0" vertical="bottom" wrapText="0"/>
    </xf>
    <xf borderId="3" fillId="2" fontId="13" numFmtId="0" xfId="0" applyAlignment="1" applyBorder="1" applyFont="1">
      <alignment horizontal="center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3" fillId="0" fontId="18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horizontal="center" shrinkToFit="0" vertical="bottom" wrapText="0"/>
    </xf>
    <xf borderId="0" fillId="0" fontId="18" numFmtId="0" xfId="0" applyAlignment="1" applyFont="1">
      <alignment shrinkToFit="0" vertical="bottom" wrapText="0"/>
    </xf>
    <xf borderId="1" fillId="0" fontId="16" numFmtId="0" xfId="0" applyBorder="1" applyFont="1"/>
    <xf borderId="0" fillId="0" fontId="16" numFmtId="0" xfId="0" applyFont="1"/>
    <xf borderId="1" fillId="0" fontId="17" numFmtId="0" xfId="0" applyBorder="1" applyFont="1"/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0.43"/>
    <col customWidth="1" min="2" max="2" width="35.57"/>
    <col customWidth="1" min="3" max="3" width="27.71"/>
    <col customWidth="1" min="4" max="4" width="18.86"/>
    <col customWidth="1" min="5" max="5" width="12.71"/>
    <col customWidth="1" min="6" max="6" width="10.86"/>
    <col customWidth="1" min="7" max="7" width="8.71"/>
    <col customWidth="1" min="8" max="8" width="8.43"/>
    <col customWidth="1" min="9" max="9" width="6.86"/>
    <col customWidth="1" min="10" max="10" width="6.43"/>
    <col customWidth="1" min="11" max="11" width="6.71"/>
    <col customWidth="1" min="12" max="12" width="6.86"/>
    <col customWidth="1" min="13" max="13" width="7.0"/>
    <col customWidth="1" min="14" max="14" width="6.71"/>
    <col customWidth="1" min="15" max="15" width="7.29"/>
    <col customWidth="1" min="16" max="16" width="7.14"/>
    <col customWidth="1" min="17" max="17" width="6.14"/>
    <col customWidth="1" min="18" max="18" width="7.43"/>
    <col customWidth="1" min="19" max="19" width="9.43"/>
    <col customWidth="1" min="20" max="20" width="6.86"/>
    <col customWidth="1" min="21" max="21" width="6.57"/>
    <col customWidth="1" min="22" max="22" width="7.0"/>
    <col customWidth="1" min="23" max="23" width="6.71"/>
    <col customWidth="1" min="24" max="25" width="7.71"/>
    <col customWidth="1" min="26" max="26" width="7.29"/>
    <col customWidth="1" min="27" max="27" width="7.43"/>
    <col customWidth="1" min="28" max="29" width="7.71"/>
    <col customWidth="1" min="30" max="30" width="10.0"/>
    <col customWidth="1" min="31" max="69" width="8.71"/>
  </cols>
  <sheetData>
    <row r="1">
      <c r="A1" s="1">
        <v>2.0680058E7</v>
      </c>
      <c r="B1" s="2"/>
      <c r="C1" s="3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>
      <c r="B2" s="2" t="s">
        <v>0</v>
      </c>
      <c r="C2" s="2"/>
      <c r="D2" s="3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>
      <c r="B3" s="6"/>
      <c r="C3" s="6"/>
      <c r="D3" s="7"/>
      <c r="E3" s="8"/>
      <c r="F3" s="9"/>
      <c r="G3" s="9"/>
      <c r="H3" s="10"/>
      <c r="I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</row>
    <row r="4">
      <c r="B4" s="12" t="s">
        <v>1</v>
      </c>
      <c r="C4" s="13" t="s">
        <v>2</v>
      </c>
      <c r="D4" s="14" t="s">
        <v>3</v>
      </c>
      <c r="E4" s="15" t="s">
        <v>4</v>
      </c>
      <c r="F4" s="16"/>
      <c r="G4" s="16"/>
      <c r="H4" s="17"/>
      <c r="I4" s="18"/>
      <c r="J4" s="19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</row>
    <row r="5">
      <c r="B5" s="20" t="s">
        <v>5</v>
      </c>
      <c r="C5" s="21" t="s">
        <v>6</v>
      </c>
      <c r="D5" s="22">
        <f t="shared" ref="D5:D6" si="1">SUM(E5:Z5)</f>
        <v>59.965</v>
      </c>
      <c r="E5" s="23">
        <v>6.0</v>
      </c>
      <c r="F5" s="23">
        <v>6.0</v>
      </c>
      <c r="G5" s="23">
        <v>6.0</v>
      </c>
      <c r="H5" s="23">
        <v>6.0</v>
      </c>
      <c r="I5" s="23">
        <v>6.0</v>
      </c>
      <c r="J5" s="23">
        <v>6.0</v>
      </c>
      <c r="K5" s="23">
        <v>6.0</v>
      </c>
      <c r="L5" s="23">
        <v>6.0</v>
      </c>
      <c r="M5" s="23">
        <v>6.0</v>
      </c>
      <c r="N5" s="24">
        <v>5.965</v>
      </c>
      <c r="O5" s="25"/>
      <c r="P5" s="23"/>
      <c r="Q5" s="26"/>
      <c r="R5" s="26"/>
      <c r="S5" s="26"/>
      <c r="T5" s="26"/>
      <c r="U5" s="26"/>
      <c r="V5" s="4"/>
      <c r="W5" s="4"/>
      <c r="X5" s="4"/>
      <c r="Y5" s="4"/>
      <c r="Z5" s="4"/>
      <c r="AA5" s="4"/>
      <c r="AB5" s="3"/>
      <c r="AC5" s="3"/>
      <c r="AD5" s="3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</row>
    <row r="6">
      <c r="B6" s="20" t="s">
        <v>7</v>
      </c>
      <c r="C6" s="27" t="s">
        <v>8</v>
      </c>
      <c r="D6" s="22">
        <f t="shared" si="1"/>
        <v>24</v>
      </c>
      <c r="E6" s="28">
        <v>6.0</v>
      </c>
      <c r="F6" s="28">
        <v>6.0</v>
      </c>
      <c r="G6" s="28">
        <v>6.0</v>
      </c>
      <c r="H6" s="28">
        <v>6.0</v>
      </c>
      <c r="I6" s="25"/>
      <c r="J6" s="25"/>
      <c r="K6" s="25"/>
      <c r="L6" s="25"/>
      <c r="M6" s="25"/>
      <c r="N6" s="25"/>
      <c r="O6" s="25"/>
      <c r="P6" s="26"/>
      <c r="Q6" s="26"/>
      <c r="R6" s="26"/>
      <c r="S6" s="26"/>
      <c r="T6" s="26"/>
      <c r="U6" s="26"/>
      <c r="V6" s="4"/>
      <c r="W6" s="4"/>
      <c r="X6" s="4"/>
      <c r="Y6" s="4"/>
      <c r="Z6" s="4"/>
      <c r="AA6" s="4"/>
      <c r="AB6" s="3"/>
      <c r="AC6" s="3"/>
      <c r="AD6" s="3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</row>
    <row r="7">
      <c r="B7" s="20" t="s">
        <v>9</v>
      </c>
      <c r="C7" s="21" t="s">
        <v>10</v>
      </c>
      <c r="D7" s="22">
        <f>SUM(E7:F7)</f>
        <v>10.878</v>
      </c>
      <c r="E7" s="23">
        <v>6.0</v>
      </c>
      <c r="F7" s="28">
        <v>4.878</v>
      </c>
      <c r="G7" s="23"/>
      <c r="H7" s="23"/>
      <c r="I7" s="23"/>
      <c r="J7" s="23"/>
      <c r="K7" s="25"/>
      <c r="L7" s="25"/>
      <c r="M7" s="25"/>
      <c r="N7" s="25"/>
      <c r="O7" s="25"/>
      <c r="P7" s="26"/>
      <c r="Q7" s="26"/>
      <c r="R7" s="26"/>
      <c r="S7" s="26"/>
      <c r="T7" s="26"/>
      <c r="U7" s="26"/>
      <c r="V7" s="4"/>
      <c r="W7" s="4"/>
      <c r="X7" s="4"/>
      <c r="Y7" s="4"/>
      <c r="Z7" s="4"/>
      <c r="AA7" s="4"/>
      <c r="AB7" s="4"/>
      <c r="AC7" s="4"/>
      <c r="AD7" s="3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</row>
    <row r="8">
      <c r="B8" s="20" t="s">
        <v>11</v>
      </c>
      <c r="C8" s="29"/>
      <c r="D8" s="22">
        <f>SUM(E8:G8)</f>
        <v>15.759</v>
      </c>
      <c r="E8" s="23">
        <v>6.01</v>
      </c>
      <c r="F8" s="23">
        <v>5.805</v>
      </c>
      <c r="G8" s="28">
        <v>3.944</v>
      </c>
      <c r="H8" s="23"/>
      <c r="I8" s="25"/>
      <c r="J8" s="25"/>
      <c r="K8" s="25"/>
      <c r="L8" s="25"/>
      <c r="M8" s="30"/>
      <c r="N8" s="24"/>
      <c r="O8" s="25"/>
      <c r="P8" s="25"/>
      <c r="Q8" s="25"/>
      <c r="R8" s="25"/>
      <c r="S8" s="25"/>
      <c r="T8" s="25"/>
      <c r="U8" s="25"/>
      <c r="V8" s="31"/>
      <c r="W8" s="31"/>
      <c r="X8" s="31"/>
      <c r="Y8" s="31"/>
      <c r="Z8" s="31"/>
      <c r="AA8" s="31"/>
      <c r="AB8" s="31"/>
      <c r="AC8" s="31"/>
      <c r="AD8" s="32"/>
      <c r="AE8" s="33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</row>
    <row r="9">
      <c r="B9" s="20" t="s">
        <v>12</v>
      </c>
      <c r="C9" s="29" t="s">
        <v>13</v>
      </c>
      <c r="D9" s="22">
        <f t="shared" ref="D9:D10" si="2">SUM(E9:F9)</f>
        <v>6.59</v>
      </c>
      <c r="E9" s="28">
        <v>5.2</v>
      </c>
      <c r="F9" s="25">
        <v>1.39</v>
      </c>
      <c r="G9" s="23"/>
      <c r="H9" s="23"/>
      <c r="I9" s="25"/>
      <c r="J9" s="25"/>
      <c r="K9" s="25"/>
      <c r="L9" s="25"/>
      <c r="M9" s="30"/>
      <c r="N9" s="25"/>
      <c r="O9" s="25"/>
      <c r="P9" s="25"/>
      <c r="Q9" s="25"/>
      <c r="R9" s="25"/>
      <c r="S9" s="25"/>
      <c r="T9" s="25"/>
      <c r="U9" s="25"/>
      <c r="V9" s="31"/>
      <c r="W9" s="31"/>
      <c r="X9" s="31"/>
      <c r="Y9" s="31"/>
      <c r="Z9" s="31"/>
      <c r="AA9" s="31"/>
      <c r="AB9" s="31"/>
      <c r="AC9" s="31"/>
      <c r="AD9" s="32"/>
      <c r="AE9" s="32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</row>
    <row r="10">
      <c r="B10" s="20" t="s">
        <v>14</v>
      </c>
      <c r="C10" s="29" t="s">
        <v>15</v>
      </c>
      <c r="D10" s="22">
        <f t="shared" si="2"/>
        <v>6</v>
      </c>
      <c r="E10" s="25">
        <v>6.0</v>
      </c>
      <c r="F10" s="23"/>
      <c r="G10" s="23"/>
      <c r="H10" s="23"/>
      <c r="I10" s="25"/>
      <c r="J10" s="25"/>
      <c r="K10" s="25"/>
      <c r="L10" s="25"/>
      <c r="M10" s="26"/>
      <c r="N10" s="25"/>
      <c r="O10" s="25"/>
      <c r="P10" s="25"/>
      <c r="Q10" s="25"/>
      <c r="R10" s="25"/>
      <c r="S10" s="25"/>
      <c r="T10" s="25"/>
      <c r="U10" s="25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</row>
    <row r="11">
      <c r="B11" s="20" t="s">
        <v>16</v>
      </c>
      <c r="C11" s="29" t="s">
        <v>17</v>
      </c>
      <c r="D11" s="22">
        <f t="shared" ref="D11:D13" si="3">SUM(E11:Z11)</f>
        <v>14.377</v>
      </c>
      <c r="E11" s="23">
        <v>6.0</v>
      </c>
      <c r="F11" s="25">
        <v>6.0</v>
      </c>
      <c r="G11" s="25">
        <v>1.05</v>
      </c>
      <c r="H11" s="25">
        <v>0.915</v>
      </c>
      <c r="I11" s="28">
        <v>0.412</v>
      </c>
      <c r="J11" s="23"/>
      <c r="K11" s="23"/>
      <c r="L11" s="23"/>
      <c r="M11" s="25"/>
      <c r="N11" s="25"/>
      <c r="O11" s="25"/>
      <c r="P11" s="25"/>
      <c r="Q11" s="25"/>
      <c r="R11" s="25"/>
      <c r="S11" s="25"/>
      <c r="T11" s="25"/>
      <c r="U11" s="25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</row>
    <row r="12">
      <c r="B12" s="20" t="s">
        <v>18</v>
      </c>
      <c r="C12" s="29" t="s">
        <v>19</v>
      </c>
      <c r="D12" s="22">
        <f t="shared" si="3"/>
        <v>8.707</v>
      </c>
      <c r="E12" s="23">
        <v>6.0</v>
      </c>
      <c r="F12" s="23">
        <v>2.707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</row>
    <row r="13">
      <c r="B13" s="20" t="s">
        <v>20</v>
      </c>
      <c r="C13" s="29"/>
      <c r="D13" s="22">
        <f t="shared" si="3"/>
        <v>3.034</v>
      </c>
      <c r="E13" s="23">
        <v>3.034</v>
      </c>
      <c r="F13" s="23"/>
      <c r="G13" s="25"/>
      <c r="H13" s="25"/>
      <c r="I13" s="25"/>
      <c r="J13" s="25"/>
      <c r="K13" s="25"/>
      <c r="L13" s="25"/>
      <c r="M13" s="25"/>
      <c r="N13" s="25"/>
      <c r="O13" s="26"/>
      <c r="P13" s="25"/>
      <c r="Q13" s="25"/>
      <c r="R13" s="25"/>
      <c r="S13" s="25"/>
      <c r="T13" s="25"/>
      <c r="U13" s="25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</row>
    <row r="14">
      <c r="B14" s="20"/>
      <c r="C14" s="29"/>
      <c r="D14" s="22"/>
      <c r="E14" s="23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</row>
    <row r="15">
      <c r="B15" s="34" t="s">
        <v>21</v>
      </c>
      <c r="C15" s="29"/>
      <c r="D15" s="22"/>
      <c r="E15" s="23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</row>
    <row r="16">
      <c r="B16" s="20" t="s">
        <v>22</v>
      </c>
      <c r="C16" s="29" t="s">
        <v>23</v>
      </c>
      <c r="D16" s="22">
        <f t="shared" ref="D16:D25" si="4">SUM(E16:Z16)</f>
        <v>14.92</v>
      </c>
      <c r="E16" s="23">
        <v>6.0</v>
      </c>
      <c r="F16" s="23">
        <v>6.0</v>
      </c>
      <c r="G16" s="23">
        <v>2.92</v>
      </c>
      <c r="H16" s="23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</row>
    <row r="17">
      <c r="B17" s="20" t="s">
        <v>24</v>
      </c>
      <c r="C17" s="29" t="s">
        <v>25</v>
      </c>
      <c r="D17" s="22">
        <f t="shared" si="4"/>
        <v>5.968</v>
      </c>
      <c r="E17" s="23">
        <v>5.968</v>
      </c>
      <c r="F17" s="23"/>
      <c r="G17" s="23"/>
      <c r="H17" s="23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</row>
    <row r="18">
      <c r="B18" s="35" t="s">
        <v>26</v>
      </c>
      <c r="C18" s="29"/>
      <c r="D18" s="22">
        <f t="shared" si="4"/>
        <v>6</v>
      </c>
      <c r="E18" s="28">
        <v>6.0</v>
      </c>
      <c r="F18" s="23"/>
      <c r="G18" s="23"/>
      <c r="H18" s="23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</row>
    <row r="19">
      <c r="B19" s="20" t="s">
        <v>27</v>
      </c>
      <c r="C19" s="29" t="s">
        <v>28</v>
      </c>
      <c r="D19" s="22">
        <f t="shared" si="4"/>
        <v>19.765</v>
      </c>
      <c r="E19" s="23">
        <v>6.0</v>
      </c>
      <c r="F19" s="23">
        <v>6.0</v>
      </c>
      <c r="G19" s="28">
        <v>3.42</v>
      </c>
      <c r="H19" s="23">
        <v>4.345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</row>
    <row r="20" ht="15.75" customHeight="1">
      <c r="B20" s="20" t="s">
        <v>29</v>
      </c>
      <c r="C20" s="29"/>
      <c r="D20" s="22">
        <f t="shared" si="4"/>
        <v>6</v>
      </c>
      <c r="E20" s="23">
        <v>6.0</v>
      </c>
      <c r="F20" s="23"/>
      <c r="G20" s="23"/>
      <c r="H20" s="23"/>
      <c r="I20" s="23"/>
      <c r="J20" s="23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6"/>
      <c r="AI20" s="37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</row>
    <row r="21" ht="15.75" customHeight="1">
      <c r="B21" s="38" t="s">
        <v>30</v>
      </c>
      <c r="C21" s="39">
        <v>44.1666</v>
      </c>
      <c r="D21" s="22">
        <f t="shared" si="4"/>
        <v>10.398</v>
      </c>
      <c r="E21" s="28">
        <v>6.0</v>
      </c>
      <c r="F21" s="23">
        <v>4.398</v>
      </c>
      <c r="G21" s="2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6"/>
      <c r="AI21" s="37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</row>
    <row r="22" ht="15.75" customHeight="1">
      <c r="B22" s="38" t="s">
        <v>31</v>
      </c>
      <c r="C22" s="40" t="s">
        <v>32</v>
      </c>
      <c r="D22" s="22">
        <f t="shared" si="4"/>
        <v>8.16</v>
      </c>
      <c r="E22" s="23">
        <v>6.0</v>
      </c>
      <c r="F22" s="28">
        <v>2.16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6"/>
      <c r="AI22" s="37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</row>
    <row r="23" ht="15.75" customHeight="1">
      <c r="B23" s="20" t="s">
        <v>33</v>
      </c>
      <c r="C23" s="41" t="s">
        <v>34</v>
      </c>
      <c r="D23" s="22">
        <f t="shared" si="4"/>
        <v>8.563</v>
      </c>
      <c r="E23" s="28">
        <v>6.0</v>
      </c>
      <c r="F23" s="23">
        <v>1.87</v>
      </c>
      <c r="G23" s="28">
        <v>0.693</v>
      </c>
      <c r="H23" s="23"/>
      <c r="I23" s="23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6"/>
      <c r="AI23" s="37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</row>
    <row r="24" ht="15.75" customHeight="1">
      <c r="B24" s="20" t="s">
        <v>35</v>
      </c>
      <c r="C24" s="29"/>
      <c r="D24" s="22">
        <f t="shared" si="4"/>
        <v>17.398</v>
      </c>
      <c r="E24" s="23">
        <v>6.0</v>
      </c>
      <c r="F24" s="23">
        <v>6.0</v>
      </c>
      <c r="G24" s="23">
        <v>5.398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31"/>
      <c r="W24" s="31"/>
      <c r="X24" s="31"/>
      <c r="Y24" s="31"/>
      <c r="AA24" s="31"/>
      <c r="AB24" s="31"/>
      <c r="AC24" s="31"/>
      <c r="AD24" s="31"/>
      <c r="AE24" s="31"/>
      <c r="AF24" s="31"/>
      <c r="AG24" s="31"/>
      <c r="AH24" s="36"/>
      <c r="AI24" s="37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</row>
    <row r="25" ht="15.75" customHeight="1">
      <c r="B25" s="20" t="s">
        <v>36</v>
      </c>
      <c r="C25" s="29" t="s">
        <v>37</v>
      </c>
      <c r="D25" s="22">
        <f t="shared" si="4"/>
        <v>14.397</v>
      </c>
      <c r="E25" s="23">
        <v>6.0</v>
      </c>
      <c r="F25" s="23">
        <v>6.0</v>
      </c>
      <c r="G25" s="28">
        <v>2.397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31"/>
      <c r="W25" s="31"/>
      <c r="X25" s="31"/>
      <c r="Y25" s="31"/>
      <c r="AA25" s="31"/>
      <c r="AB25" s="31"/>
      <c r="AC25" s="31"/>
      <c r="AD25" s="31"/>
      <c r="AE25" s="31"/>
      <c r="AF25" s="31"/>
      <c r="AG25" s="31"/>
      <c r="AH25" s="36"/>
      <c r="AI25" s="37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</row>
    <row r="26" ht="15.75" customHeight="1">
      <c r="B26" s="20"/>
      <c r="C26" s="42"/>
      <c r="D26" s="22"/>
      <c r="E26" s="23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6"/>
      <c r="AI26" s="37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</row>
    <row r="27" ht="15.75" customHeight="1">
      <c r="B27" s="34" t="s">
        <v>38</v>
      </c>
      <c r="C27" s="42"/>
      <c r="D27" s="43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6"/>
      <c r="AI27" s="37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</row>
    <row r="28" ht="15.75" customHeight="1">
      <c r="B28" s="20" t="s">
        <v>39</v>
      </c>
      <c r="C28" s="29" t="s">
        <v>40</v>
      </c>
      <c r="D28" s="22">
        <f t="shared" ref="D28:D38" si="5">SUM(E28:Z28)</f>
        <v>4.133</v>
      </c>
      <c r="E28" s="25">
        <v>4.133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6"/>
      <c r="AI28" s="37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</row>
    <row r="29" ht="15.75" customHeight="1">
      <c r="B29" s="35" t="s">
        <v>41</v>
      </c>
      <c r="C29" s="41">
        <v>30.833</v>
      </c>
      <c r="D29" s="22">
        <f t="shared" si="5"/>
        <v>18</v>
      </c>
      <c r="E29" s="23">
        <v>6.0</v>
      </c>
      <c r="F29" s="23">
        <v>6.0</v>
      </c>
      <c r="G29" s="23">
        <v>6.0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6"/>
      <c r="AI29" s="37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</row>
    <row r="30" ht="15.75" customHeight="1">
      <c r="B30" s="20" t="s">
        <v>42</v>
      </c>
      <c r="C30" s="41">
        <v>64.166</v>
      </c>
      <c r="D30" s="22">
        <f t="shared" si="5"/>
        <v>0</v>
      </c>
      <c r="E30" s="23"/>
      <c r="F30" s="23"/>
      <c r="G30" s="23"/>
      <c r="H30" s="23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6"/>
      <c r="AI30" s="37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</row>
    <row r="31" ht="15.75" customHeight="1">
      <c r="B31" s="20" t="s">
        <v>7</v>
      </c>
      <c r="C31" s="29" t="s">
        <v>43</v>
      </c>
      <c r="D31" s="22">
        <f t="shared" si="5"/>
        <v>16.534</v>
      </c>
      <c r="E31" s="23">
        <v>6.0</v>
      </c>
      <c r="F31" s="23">
        <v>6.0</v>
      </c>
      <c r="G31" s="23">
        <v>4.534</v>
      </c>
      <c r="H31" s="23"/>
      <c r="I31" s="23"/>
      <c r="J31" s="44"/>
      <c r="K31" s="5"/>
      <c r="L31" s="44"/>
      <c r="M31" s="25"/>
      <c r="N31" s="25"/>
      <c r="O31" s="25"/>
      <c r="P31" s="25"/>
      <c r="Q31" s="25"/>
      <c r="R31" s="25"/>
      <c r="S31" s="25"/>
      <c r="T31" s="25"/>
      <c r="U31" s="25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6"/>
      <c r="AI31" s="37"/>
      <c r="AJ31" s="32"/>
      <c r="AK31" s="32"/>
      <c r="AL31" s="32"/>
      <c r="AM31" s="32"/>
      <c r="AN31" s="32"/>
      <c r="AO31" s="32"/>
      <c r="AP31" s="32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</row>
    <row r="32" ht="15.75" customHeight="1">
      <c r="B32" s="20" t="s">
        <v>44</v>
      </c>
      <c r="C32" s="42"/>
      <c r="D32" s="22">
        <f t="shared" si="5"/>
        <v>2.767</v>
      </c>
      <c r="E32" s="23">
        <v>2.0</v>
      </c>
      <c r="F32" s="25">
        <v>0.767</v>
      </c>
      <c r="G32" s="23"/>
      <c r="H32" s="25"/>
      <c r="I32" s="23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6"/>
      <c r="AI32" s="37"/>
      <c r="AJ32" s="31"/>
      <c r="AK32" s="31"/>
      <c r="AL32" s="31"/>
      <c r="AM32" s="31"/>
      <c r="AN32" s="31"/>
      <c r="AO32" s="31"/>
      <c r="AP32" s="31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</row>
    <row r="33" ht="15.75" customHeight="1">
      <c r="B33" s="35" t="s">
        <v>9</v>
      </c>
      <c r="C33" s="42"/>
      <c r="D33" s="22">
        <f t="shared" si="5"/>
        <v>24</v>
      </c>
      <c r="E33" s="23">
        <v>6.0</v>
      </c>
      <c r="F33" s="23">
        <v>6.0</v>
      </c>
      <c r="G33" s="23">
        <v>6.0</v>
      </c>
      <c r="H33" s="23">
        <v>6.0</v>
      </c>
      <c r="I33" s="23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6"/>
      <c r="AI33" s="37"/>
      <c r="AJ33" s="31"/>
      <c r="AK33" s="31"/>
      <c r="AL33" s="31"/>
      <c r="AM33" s="31"/>
      <c r="AN33" s="31"/>
      <c r="AO33" s="31"/>
      <c r="AP33" s="31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</row>
    <row r="34" ht="15.75" customHeight="1">
      <c r="B34" s="20" t="s">
        <v>11</v>
      </c>
      <c r="C34" s="29" t="s">
        <v>45</v>
      </c>
      <c r="D34" s="22">
        <f t="shared" si="5"/>
        <v>13.155</v>
      </c>
      <c r="E34" s="23">
        <v>6.0</v>
      </c>
      <c r="F34" s="23">
        <v>6.0</v>
      </c>
      <c r="G34" s="23">
        <v>1.155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6"/>
      <c r="AI34" s="37"/>
      <c r="AJ34" s="31"/>
      <c r="AK34" s="31"/>
      <c r="AL34" s="31"/>
      <c r="AM34" s="31"/>
      <c r="AN34" s="31"/>
      <c r="AO34" s="31"/>
      <c r="AP34" s="31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</row>
    <row r="35" ht="15.75" customHeight="1">
      <c r="B35" s="20" t="s">
        <v>12</v>
      </c>
      <c r="C35" s="41" t="s">
        <v>46</v>
      </c>
      <c r="D35" s="22">
        <f t="shared" si="5"/>
        <v>10.808</v>
      </c>
      <c r="E35" s="28">
        <v>6.0</v>
      </c>
      <c r="F35" s="23">
        <v>4.808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6"/>
      <c r="AI35" s="37"/>
      <c r="AJ35" s="31"/>
      <c r="AK35" s="31"/>
      <c r="AL35" s="31"/>
      <c r="AM35" s="31"/>
      <c r="AN35" s="31"/>
      <c r="AO35" s="31"/>
      <c r="AP35" s="31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</row>
    <row r="36" ht="15.75" customHeight="1">
      <c r="B36" s="20" t="s">
        <v>16</v>
      </c>
      <c r="C36" s="29" t="s">
        <v>47</v>
      </c>
      <c r="D36" s="22">
        <f t="shared" si="5"/>
        <v>8.676</v>
      </c>
      <c r="E36" s="23">
        <v>4.995</v>
      </c>
      <c r="F36" s="23">
        <v>2.266</v>
      </c>
      <c r="G36" s="23">
        <v>1.415</v>
      </c>
      <c r="H36" s="23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6"/>
      <c r="AI36" s="37"/>
      <c r="AJ36" s="31"/>
      <c r="AK36" s="31"/>
      <c r="AL36" s="31"/>
      <c r="AM36" s="31"/>
      <c r="AN36" s="31"/>
      <c r="AO36" s="31"/>
      <c r="AP36" s="31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</row>
    <row r="37" ht="15.75" customHeight="1">
      <c r="B37" s="20" t="s">
        <v>18</v>
      </c>
      <c r="C37" s="29" t="s">
        <v>48</v>
      </c>
      <c r="D37" s="22">
        <f t="shared" si="5"/>
        <v>15.235</v>
      </c>
      <c r="E37" s="23">
        <v>6.0</v>
      </c>
      <c r="F37" s="23">
        <v>6.0</v>
      </c>
      <c r="G37" s="23">
        <v>2.778</v>
      </c>
      <c r="H37" s="21">
        <v>0.457</v>
      </c>
      <c r="I37" s="21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25"/>
      <c r="U37" s="25"/>
      <c r="V37" s="25"/>
      <c r="W37" s="25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6"/>
      <c r="AI37" s="37"/>
      <c r="AJ37" s="31"/>
      <c r="AK37" s="31"/>
      <c r="AL37" s="31"/>
      <c r="AM37" s="31"/>
      <c r="AN37" s="31"/>
      <c r="AO37" s="31"/>
      <c r="AP37" s="31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</row>
    <row r="38" ht="15.75" customHeight="1">
      <c r="B38" s="20" t="s">
        <v>49</v>
      </c>
      <c r="C38" s="29" t="s">
        <v>50</v>
      </c>
      <c r="D38" s="22">
        <f t="shared" si="5"/>
        <v>15.947</v>
      </c>
      <c r="E38" s="21">
        <v>8.0</v>
      </c>
      <c r="F38" s="45">
        <v>6.95</v>
      </c>
      <c r="G38" s="45">
        <v>0.997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25"/>
      <c r="U38" s="25"/>
      <c r="V38" s="25"/>
      <c r="W38" s="25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6"/>
      <c r="AI38" s="37"/>
      <c r="AJ38" s="31"/>
      <c r="AK38" s="31"/>
      <c r="AL38" s="31"/>
      <c r="AM38" s="31"/>
      <c r="AN38" s="31"/>
      <c r="AO38" s="31"/>
      <c r="AP38" s="31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</row>
    <row r="39" ht="15.75" customHeight="1">
      <c r="B39" s="20"/>
      <c r="C39" s="29"/>
      <c r="D39" s="22"/>
      <c r="E39" s="23"/>
      <c r="F39" s="23"/>
      <c r="G39" s="23"/>
      <c r="H39" s="5"/>
      <c r="I39" s="44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6"/>
      <c r="AI39" s="37"/>
      <c r="AJ39" s="31"/>
      <c r="AK39" s="31"/>
      <c r="AL39" s="31"/>
      <c r="AM39" s="31"/>
      <c r="AN39" s="31"/>
      <c r="AO39" s="31"/>
      <c r="AP39" s="31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</row>
    <row r="40" ht="15.75" customHeight="1">
      <c r="B40" s="46" t="s">
        <v>51</v>
      </c>
      <c r="C40" s="42"/>
      <c r="D40" s="43"/>
      <c r="E40" s="25"/>
      <c r="F40" s="25"/>
      <c r="G40" s="25"/>
      <c r="H40" s="47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6"/>
      <c r="AI40" s="37"/>
      <c r="AJ40" s="31"/>
      <c r="AK40" s="31"/>
      <c r="AL40" s="31"/>
      <c r="AM40" s="31"/>
      <c r="AN40" s="31"/>
      <c r="AO40" s="31"/>
      <c r="AP40" s="31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</row>
    <row r="41" ht="15.75" customHeight="1">
      <c r="B41" s="20" t="s">
        <v>52</v>
      </c>
      <c r="C41" s="48"/>
      <c r="D41" s="22">
        <f t="shared" ref="D41:D43" si="6">SUM(E41:Z41)</f>
        <v>1.975</v>
      </c>
      <c r="E41" s="25">
        <v>1.975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6"/>
      <c r="AI41" s="37"/>
      <c r="AJ41" s="31"/>
      <c r="AK41" s="31"/>
      <c r="AL41" s="31"/>
      <c r="AM41" s="31"/>
      <c r="AN41" s="31"/>
      <c r="AO41" s="31"/>
      <c r="AP41" s="31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</row>
    <row r="42" ht="15.75" customHeight="1">
      <c r="B42" s="49" t="s">
        <v>53</v>
      </c>
      <c r="C42" s="50" t="s">
        <v>54</v>
      </c>
      <c r="D42" s="22">
        <f t="shared" si="6"/>
        <v>8.008</v>
      </c>
      <c r="E42" s="25">
        <v>6.0</v>
      </c>
      <c r="F42" s="25">
        <v>2.008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6"/>
      <c r="AI42" s="37"/>
      <c r="AJ42" s="31"/>
      <c r="AK42" s="31"/>
      <c r="AL42" s="31"/>
      <c r="AM42" s="31"/>
      <c r="AN42" s="31"/>
      <c r="AO42" s="31"/>
      <c r="AP42" s="31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</row>
    <row r="43" ht="15.75" customHeight="1">
      <c r="B43" s="51" t="s">
        <v>55</v>
      </c>
      <c r="C43" s="52" t="s">
        <v>56</v>
      </c>
      <c r="D43" s="22">
        <f t="shared" si="6"/>
        <v>26.792</v>
      </c>
      <c r="E43" s="25">
        <v>6.0</v>
      </c>
      <c r="F43" s="25">
        <v>6.0</v>
      </c>
      <c r="G43" s="25">
        <v>6.0</v>
      </c>
      <c r="H43" s="25">
        <v>6.0</v>
      </c>
      <c r="I43" s="23">
        <v>2.792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6"/>
      <c r="AI43" s="37"/>
      <c r="AJ43" s="31"/>
      <c r="AK43" s="31"/>
      <c r="AL43" s="31"/>
      <c r="AM43" s="31"/>
      <c r="AN43" s="31"/>
      <c r="AO43" s="31"/>
      <c r="AP43" s="31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ht="15.75" customHeight="1">
      <c r="B44" s="20"/>
      <c r="C44" s="42"/>
      <c r="D44" s="22"/>
      <c r="E44" s="23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6"/>
      <c r="AI44" s="37"/>
      <c r="AJ44" s="31"/>
      <c r="AK44" s="31"/>
      <c r="AL44" s="31"/>
      <c r="AM44" s="31"/>
      <c r="AN44" s="31"/>
      <c r="AO44" s="31"/>
      <c r="AP44" s="31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ht="15.75" customHeight="1">
      <c r="B45" s="53" t="s">
        <v>57</v>
      </c>
      <c r="C45" s="42"/>
      <c r="D45" s="43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6"/>
      <c r="AI45" s="37"/>
      <c r="AJ45" s="31"/>
      <c r="AK45" s="31"/>
      <c r="AL45" s="31"/>
      <c r="AM45" s="31"/>
      <c r="AN45" s="31"/>
      <c r="AO45" s="31"/>
      <c r="AP45" s="31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</row>
    <row r="46" ht="15.75" customHeight="1">
      <c r="B46" s="20" t="s">
        <v>58</v>
      </c>
      <c r="C46" s="21" t="s">
        <v>59</v>
      </c>
      <c r="D46" s="22">
        <f t="shared" ref="D46:D48" si="7">SUM(E46:Z46)</f>
        <v>3.184</v>
      </c>
      <c r="E46" s="25">
        <v>3.184</v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6"/>
      <c r="AI46" s="37"/>
      <c r="AJ46" s="31"/>
      <c r="AK46" s="31"/>
      <c r="AL46" s="31"/>
      <c r="AM46" s="31"/>
      <c r="AN46" s="31"/>
      <c r="AO46" s="31"/>
      <c r="AP46" s="31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</row>
    <row r="47" ht="15.75" customHeight="1">
      <c r="B47" s="20" t="s">
        <v>60</v>
      </c>
      <c r="C47" s="21" t="s">
        <v>61</v>
      </c>
      <c r="D47" s="22">
        <f t="shared" si="7"/>
        <v>10</v>
      </c>
      <c r="E47" s="25">
        <v>5.0</v>
      </c>
      <c r="F47" s="25">
        <v>5.0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6"/>
      <c r="AI47" s="37"/>
      <c r="AJ47" s="31"/>
      <c r="AK47" s="31"/>
      <c r="AL47" s="31"/>
      <c r="AM47" s="31"/>
      <c r="AN47" s="31"/>
      <c r="AO47" s="31"/>
      <c r="AP47" s="31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</row>
    <row r="48" ht="15.75" customHeight="1">
      <c r="B48" s="20" t="s">
        <v>62</v>
      </c>
      <c r="C48" s="29" t="s">
        <v>63</v>
      </c>
      <c r="D48" s="22">
        <f t="shared" si="7"/>
        <v>8.741</v>
      </c>
      <c r="E48" s="23">
        <v>4.16</v>
      </c>
      <c r="F48" s="25">
        <v>0.509</v>
      </c>
      <c r="G48" s="23">
        <v>0.509</v>
      </c>
      <c r="H48" s="23">
        <v>0.509</v>
      </c>
      <c r="I48" s="25">
        <v>0.509</v>
      </c>
      <c r="J48" s="25">
        <v>0.509</v>
      </c>
      <c r="K48" s="25">
        <v>0.509</v>
      </c>
      <c r="L48" s="25">
        <v>0.509</v>
      </c>
      <c r="M48" s="25">
        <v>0.509</v>
      </c>
      <c r="N48" s="25">
        <v>0.509</v>
      </c>
      <c r="O48" s="25"/>
      <c r="P48" s="25"/>
      <c r="Q48" s="25"/>
      <c r="R48" s="25"/>
      <c r="S48" s="25"/>
      <c r="T48" s="25"/>
      <c r="U48" s="25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6"/>
      <c r="AI48" s="37"/>
      <c r="AJ48" s="31"/>
      <c r="AK48" s="31"/>
      <c r="AL48" s="31"/>
      <c r="AM48" s="31"/>
      <c r="AN48" s="31"/>
      <c r="AO48" s="31"/>
      <c r="AP48" s="31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</row>
    <row r="49" ht="15.75" customHeight="1">
      <c r="B49" s="20"/>
      <c r="C49" s="42"/>
      <c r="D49" s="22"/>
      <c r="E49" s="23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6"/>
      <c r="AI49" s="37"/>
      <c r="AJ49" s="31"/>
      <c r="AK49" s="31"/>
      <c r="AL49" s="31"/>
      <c r="AM49" s="31"/>
      <c r="AN49" s="31"/>
      <c r="AO49" s="31"/>
      <c r="AP49" s="31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</row>
    <row r="50" ht="15.75" customHeight="1">
      <c r="B50" s="53" t="s">
        <v>64</v>
      </c>
      <c r="C50" s="42"/>
      <c r="D50" s="43"/>
      <c r="E50" s="25"/>
      <c r="F50" s="54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6"/>
      <c r="AI50" s="37"/>
      <c r="AJ50" s="31"/>
      <c r="AK50" s="31"/>
      <c r="AL50" s="31"/>
      <c r="AM50" s="31"/>
      <c r="AN50" s="31"/>
      <c r="AO50" s="31"/>
      <c r="AP50" s="31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</row>
    <row r="51" ht="15.75" customHeight="1">
      <c r="B51" s="20" t="s">
        <v>65</v>
      </c>
      <c r="C51" s="29" t="s">
        <v>66</v>
      </c>
      <c r="D51" s="22">
        <f t="shared" ref="D51:D71" si="8">SUM(E51:Z51)</f>
        <v>8.858</v>
      </c>
      <c r="E51" s="24">
        <v>4.508</v>
      </c>
      <c r="F51" s="25">
        <v>4.35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6"/>
      <c r="AI51" s="37"/>
      <c r="AJ51" s="31"/>
      <c r="AK51" s="31"/>
      <c r="AL51" s="31"/>
      <c r="AM51" s="31"/>
      <c r="AN51" s="31"/>
      <c r="AO51" s="31"/>
      <c r="AP51" s="31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</row>
    <row r="52" ht="15.75" customHeight="1">
      <c r="B52" s="35" t="s">
        <v>67</v>
      </c>
      <c r="C52" s="29" t="s">
        <v>68</v>
      </c>
      <c r="D52" s="22">
        <f t="shared" si="8"/>
        <v>15.64</v>
      </c>
      <c r="E52" s="25">
        <v>5.01</v>
      </c>
      <c r="F52" s="25">
        <v>5.01</v>
      </c>
      <c r="G52" s="25">
        <v>4.586</v>
      </c>
      <c r="H52" s="24">
        <v>1.034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6"/>
      <c r="AI52" s="37"/>
      <c r="AJ52" s="31"/>
      <c r="AK52" s="31"/>
      <c r="AL52" s="31"/>
      <c r="AM52" s="31"/>
      <c r="AN52" s="31"/>
      <c r="AO52" s="31"/>
      <c r="AP52" s="31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</row>
    <row r="53" ht="15.75" customHeight="1">
      <c r="B53" s="20" t="s">
        <v>69</v>
      </c>
      <c r="C53" s="29" t="s">
        <v>70</v>
      </c>
      <c r="D53" s="22">
        <f t="shared" si="8"/>
        <v>34.846</v>
      </c>
      <c r="E53" s="23">
        <v>6.0</v>
      </c>
      <c r="F53" s="23">
        <v>6.0</v>
      </c>
      <c r="G53" s="23">
        <v>6.0</v>
      </c>
      <c r="H53" s="23">
        <v>6.0</v>
      </c>
      <c r="I53" s="23">
        <v>6.0</v>
      </c>
      <c r="J53" s="28">
        <v>4.21</v>
      </c>
      <c r="K53" s="23">
        <v>0.636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6"/>
      <c r="AI53" s="37"/>
      <c r="AJ53" s="31"/>
      <c r="AK53" s="31"/>
      <c r="AL53" s="31"/>
      <c r="AM53" s="31"/>
      <c r="AN53" s="31"/>
      <c r="AO53" s="31"/>
      <c r="AP53" s="31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</row>
    <row r="54" ht="15.75" customHeight="1">
      <c r="B54" s="20" t="s">
        <v>71</v>
      </c>
      <c r="C54" s="29" t="s">
        <v>72</v>
      </c>
      <c r="D54" s="22">
        <f t="shared" si="8"/>
        <v>20.334</v>
      </c>
      <c r="E54" s="23">
        <v>6.0</v>
      </c>
      <c r="F54" s="23">
        <v>6.0</v>
      </c>
      <c r="G54" s="23">
        <v>6.0</v>
      </c>
      <c r="H54" s="23">
        <v>2.334</v>
      </c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6"/>
      <c r="AI54" s="37"/>
      <c r="AJ54" s="31"/>
      <c r="AK54" s="31"/>
      <c r="AL54" s="31"/>
      <c r="AM54" s="31"/>
      <c r="AN54" s="31"/>
      <c r="AO54" s="31"/>
      <c r="AP54" s="31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</row>
    <row r="55" ht="15.75" customHeight="1">
      <c r="B55" s="20" t="s">
        <v>73</v>
      </c>
      <c r="C55" s="29" t="s">
        <v>74</v>
      </c>
      <c r="D55" s="22">
        <f t="shared" si="8"/>
        <v>16.34</v>
      </c>
      <c r="E55" s="25">
        <v>5.0</v>
      </c>
      <c r="F55" s="25">
        <v>5.0</v>
      </c>
      <c r="G55" s="25">
        <v>4.34</v>
      </c>
      <c r="H55" s="25"/>
      <c r="I55" s="25"/>
      <c r="J55" s="25"/>
      <c r="K55" s="25"/>
      <c r="L55" s="47"/>
      <c r="M55" s="47"/>
      <c r="N55" s="25"/>
      <c r="O55" s="25"/>
      <c r="P55" s="25"/>
      <c r="Q55" s="25"/>
      <c r="R55" s="25"/>
      <c r="S55" s="25"/>
      <c r="T55" s="25"/>
      <c r="U55" s="24">
        <v>2.0</v>
      </c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6"/>
      <c r="AI55" s="37"/>
      <c r="AJ55" s="31"/>
      <c r="AK55" s="31"/>
      <c r="AL55" s="31"/>
      <c r="AM55" s="31"/>
      <c r="AN55" s="31"/>
      <c r="AO55" s="31"/>
      <c r="AP55" s="31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</row>
    <row r="56" ht="15.75" customHeight="1">
      <c r="B56" s="20" t="s">
        <v>75</v>
      </c>
      <c r="C56" s="29" t="s">
        <v>76</v>
      </c>
      <c r="D56" s="22">
        <f t="shared" si="8"/>
        <v>7.31</v>
      </c>
      <c r="E56" s="23">
        <v>5.205</v>
      </c>
      <c r="F56" s="28">
        <v>1.75</v>
      </c>
      <c r="G56" s="23">
        <v>0.355</v>
      </c>
      <c r="H56" s="23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6"/>
      <c r="AI56" s="37"/>
      <c r="AJ56" s="31"/>
      <c r="AK56" s="31"/>
      <c r="AL56" s="31"/>
      <c r="AM56" s="31"/>
      <c r="AN56" s="31"/>
      <c r="AO56" s="31"/>
      <c r="AP56" s="31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</row>
    <row r="57" ht="15.75" customHeight="1">
      <c r="B57" s="20" t="s">
        <v>77</v>
      </c>
      <c r="C57" s="29" t="s">
        <v>78</v>
      </c>
      <c r="D57" s="22">
        <f t="shared" si="8"/>
        <v>10.665</v>
      </c>
      <c r="E57" s="25">
        <v>5.0</v>
      </c>
      <c r="F57" s="25">
        <v>5.0</v>
      </c>
      <c r="G57" s="28">
        <v>0.665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6"/>
      <c r="AI57" s="37"/>
      <c r="AJ57" s="31"/>
      <c r="AK57" s="31"/>
      <c r="AL57" s="31"/>
      <c r="AM57" s="31"/>
      <c r="AN57" s="31"/>
      <c r="AO57" s="31"/>
      <c r="AP57" s="31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</row>
    <row r="58" ht="15.75" customHeight="1">
      <c r="B58" s="20" t="s">
        <v>79</v>
      </c>
      <c r="C58" s="29" t="s">
        <v>80</v>
      </c>
      <c r="D58" s="22">
        <f t="shared" si="8"/>
        <v>10.753</v>
      </c>
      <c r="E58" s="28">
        <v>6.0</v>
      </c>
      <c r="F58" s="23">
        <v>3.472</v>
      </c>
      <c r="G58" s="28">
        <v>1.109</v>
      </c>
      <c r="H58" s="25">
        <v>0.172</v>
      </c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6"/>
      <c r="AI58" s="37"/>
      <c r="AJ58" s="31"/>
      <c r="AK58" s="31"/>
      <c r="AL58" s="31"/>
      <c r="AM58" s="31"/>
      <c r="AN58" s="31"/>
      <c r="AO58" s="31"/>
      <c r="AP58" s="31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</row>
    <row r="59" ht="15.75" customHeight="1">
      <c r="B59" s="20" t="s">
        <v>81</v>
      </c>
      <c r="C59" s="29" t="s">
        <v>82</v>
      </c>
      <c r="D59" s="22">
        <f t="shared" si="8"/>
        <v>15.524</v>
      </c>
      <c r="E59" s="23">
        <v>6.0</v>
      </c>
      <c r="F59" s="23">
        <v>6.0</v>
      </c>
      <c r="G59" s="23">
        <v>3.524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6"/>
      <c r="AI59" s="37"/>
      <c r="AJ59" s="31"/>
      <c r="AK59" s="31"/>
      <c r="AL59" s="31"/>
      <c r="AM59" s="31"/>
      <c r="AN59" s="31"/>
      <c r="AO59" s="31"/>
      <c r="AP59" s="31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</row>
    <row r="60" ht="15.75" customHeight="1">
      <c r="B60" s="20" t="s">
        <v>83</v>
      </c>
      <c r="C60" s="29" t="s">
        <v>84</v>
      </c>
      <c r="D60" s="22">
        <f t="shared" si="8"/>
        <v>7.961</v>
      </c>
      <c r="E60" s="23">
        <v>4.843</v>
      </c>
      <c r="F60" s="28">
        <v>3.118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6"/>
      <c r="AI60" s="37"/>
      <c r="AJ60" s="31"/>
      <c r="AK60" s="31"/>
      <c r="AL60" s="31"/>
      <c r="AM60" s="31"/>
      <c r="AN60" s="31"/>
      <c r="AO60" s="31"/>
      <c r="AP60" s="31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</row>
    <row r="61" ht="15.75" customHeight="1">
      <c r="B61" s="20" t="s">
        <v>85</v>
      </c>
      <c r="C61" s="29" t="s">
        <v>86</v>
      </c>
      <c r="D61" s="22">
        <f t="shared" si="8"/>
        <v>8.303</v>
      </c>
      <c r="E61" s="23">
        <v>3.0</v>
      </c>
      <c r="F61" s="23">
        <v>3.0</v>
      </c>
      <c r="G61" s="23">
        <v>2.07</v>
      </c>
      <c r="H61" s="23">
        <v>0.233</v>
      </c>
      <c r="I61" s="23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6"/>
      <c r="AI61" s="37"/>
      <c r="AJ61" s="31"/>
      <c r="AK61" s="31"/>
      <c r="AL61" s="31"/>
      <c r="AM61" s="31"/>
      <c r="AN61" s="31"/>
      <c r="AO61" s="31"/>
      <c r="AP61" s="31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</row>
    <row r="62" ht="15.75" customHeight="1">
      <c r="B62" s="20" t="s">
        <v>87</v>
      </c>
      <c r="C62" s="41" t="s">
        <v>88</v>
      </c>
      <c r="D62" s="22">
        <f t="shared" si="8"/>
        <v>6.339</v>
      </c>
      <c r="E62" s="28">
        <v>5.0</v>
      </c>
      <c r="F62" s="23">
        <v>1.339</v>
      </c>
      <c r="G62" s="23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6"/>
      <c r="AI62" s="37"/>
      <c r="AJ62" s="31"/>
      <c r="AK62" s="31"/>
      <c r="AL62" s="31"/>
      <c r="AM62" s="31"/>
      <c r="AN62" s="31"/>
      <c r="AO62" s="31"/>
      <c r="AP62" s="31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</row>
    <row r="63" ht="15.75" customHeight="1">
      <c r="B63" s="20" t="s">
        <v>89</v>
      </c>
      <c r="C63" s="29" t="s">
        <v>90</v>
      </c>
      <c r="D63" s="22">
        <f t="shared" si="8"/>
        <v>8.154</v>
      </c>
      <c r="E63" s="23">
        <v>6.0</v>
      </c>
      <c r="F63" s="23">
        <v>2.154</v>
      </c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6"/>
      <c r="AI63" s="37"/>
      <c r="AJ63" s="31"/>
      <c r="AK63" s="31"/>
      <c r="AL63" s="31"/>
      <c r="AM63" s="31"/>
      <c r="AN63" s="31"/>
      <c r="AO63" s="31"/>
      <c r="AP63" s="31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</row>
    <row r="64" ht="15.75" customHeight="1">
      <c r="B64" s="55" t="s">
        <v>91</v>
      </c>
      <c r="C64" s="56" t="s">
        <v>92</v>
      </c>
      <c r="D64" s="22">
        <f t="shared" si="8"/>
        <v>4.55</v>
      </c>
      <c r="E64" s="57">
        <v>3.0</v>
      </c>
      <c r="F64" s="57">
        <v>1.0</v>
      </c>
      <c r="G64" s="58">
        <v>0.44</v>
      </c>
      <c r="H64" s="59">
        <v>0.11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6"/>
      <c r="AI64" s="37"/>
      <c r="AJ64" s="31"/>
      <c r="AK64" s="31"/>
      <c r="AL64" s="31"/>
      <c r="AM64" s="31"/>
      <c r="AN64" s="31"/>
      <c r="AO64" s="31"/>
      <c r="AP64" s="31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</row>
    <row r="65" ht="15.75" customHeight="1">
      <c r="B65" s="20" t="s">
        <v>93</v>
      </c>
      <c r="C65" s="29" t="s">
        <v>94</v>
      </c>
      <c r="D65" s="22">
        <f t="shared" si="8"/>
        <v>3.261</v>
      </c>
      <c r="E65" s="24">
        <v>2.952</v>
      </c>
      <c r="F65" s="25">
        <v>0.309</v>
      </c>
      <c r="G65" s="23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6"/>
      <c r="AI65" s="37"/>
      <c r="AJ65" s="31"/>
      <c r="AK65" s="31"/>
      <c r="AL65" s="31"/>
      <c r="AM65" s="31"/>
      <c r="AN65" s="31"/>
      <c r="AO65" s="31"/>
      <c r="AP65" s="31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</row>
    <row r="66" ht="15.75" customHeight="1">
      <c r="B66" s="60" t="s">
        <v>95</v>
      </c>
      <c r="C66" s="41" t="s">
        <v>96</v>
      </c>
      <c r="D66" s="22">
        <f t="shared" si="8"/>
        <v>2.305</v>
      </c>
      <c r="E66" s="24">
        <v>1.0</v>
      </c>
      <c r="F66" s="24">
        <v>1.0</v>
      </c>
      <c r="G66" s="25">
        <v>0.305</v>
      </c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6"/>
      <c r="AI66" s="37"/>
      <c r="AJ66" s="31"/>
      <c r="AK66" s="31"/>
      <c r="AL66" s="31"/>
      <c r="AM66" s="31"/>
      <c r="AN66" s="31"/>
      <c r="AO66" s="31"/>
      <c r="AP66" s="31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</row>
    <row r="67" ht="15.75" customHeight="1">
      <c r="B67" s="20" t="s">
        <v>97</v>
      </c>
      <c r="C67" s="61"/>
      <c r="D67" s="22">
        <f t="shared" si="8"/>
        <v>0.857</v>
      </c>
      <c r="E67" s="25">
        <v>0.857</v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6"/>
      <c r="AI67" s="37"/>
      <c r="AJ67" s="31"/>
      <c r="AK67" s="31"/>
      <c r="AL67" s="31"/>
      <c r="AM67" s="31"/>
      <c r="AN67" s="31"/>
      <c r="AO67" s="31"/>
      <c r="AP67" s="31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</row>
    <row r="68" ht="15.75" customHeight="1">
      <c r="B68" s="20" t="s">
        <v>98</v>
      </c>
      <c r="C68" s="61"/>
      <c r="D68" s="22">
        <f t="shared" si="8"/>
        <v>0.662</v>
      </c>
      <c r="E68" s="25">
        <v>0.662</v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6"/>
      <c r="AI68" s="37"/>
      <c r="AJ68" s="31"/>
      <c r="AK68" s="31"/>
      <c r="AL68" s="31"/>
      <c r="AM68" s="31"/>
      <c r="AN68" s="31"/>
      <c r="AO68" s="31"/>
      <c r="AP68" s="31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</row>
    <row r="69" ht="15.75" customHeight="1">
      <c r="B69" s="20" t="s">
        <v>99</v>
      </c>
      <c r="C69" s="29"/>
      <c r="D69" s="22">
        <f t="shared" si="8"/>
        <v>0.569</v>
      </c>
      <c r="E69" s="28">
        <v>0.569</v>
      </c>
      <c r="F69" s="23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6"/>
      <c r="AI69" s="37"/>
      <c r="AJ69" s="31"/>
      <c r="AK69" s="31"/>
      <c r="AL69" s="31"/>
      <c r="AM69" s="31"/>
      <c r="AN69" s="31"/>
      <c r="AO69" s="31"/>
      <c r="AP69" s="31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</row>
    <row r="70" ht="15.75" customHeight="1">
      <c r="B70" s="20" t="s">
        <v>100</v>
      </c>
      <c r="C70" s="29" t="s">
        <v>101</v>
      </c>
      <c r="D70" s="22">
        <f t="shared" si="8"/>
        <v>0</v>
      </c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6"/>
      <c r="AI70" s="37"/>
      <c r="AJ70" s="31"/>
      <c r="AK70" s="31"/>
      <c r="AL70" s="31"/>
      <c r="AM70" s="31"/>
      <c r="AN70" s="31"/>
      <c r="AO70" s="31"/>
      <c r="AP70" s="31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</row>
    <row r="71" ht="15.75" customHeight="1">
      <c r="B71" s="20" t="s">
        <v>102</v>
      </c>
      <c r="C71" s="29" t="s">
        <v>103</v>
      </c>
      <c r="D71" s="22">
        <f t="shared" si="8"/>
        <v>0.694</v>
      </c>
      <c r="E71" s="28">
        <v>0.694</v>
      </c>
      <c r="F71" s="23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6"/>
      <c r="AI71" s="37"/>
      <c r="AJ71" s="31"/>
      <c r="AK71" s="31"/>
      <c r="AL71" s="31"/>
      <c r="AM71" s="31"/>
      <c r="AN71" s="31"/>
      <c r="AO71" s="31"/>
      <c r="AP71" s="3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</row>
    <row r="72" ht="15.75" customHeight="1">
      <c r="B72" s="20"/>
      <c r="C72" s="61"/>
      <c r="D72" s="62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6"/>
      <c r="AI72" s="37"/>
      <c r="AJ72" s="31"/>
      <c r="AK72" s="31"/>
      <c r="AL72" s="31"/>
      <c r="AM72" s="31"/>
      <c r="AN72" s="31"/>
      <c r="AO72" s="31"/>
      <c r="AP72" s="31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</row>
    <row r="73" ht="15.75" customHeight="1">
      <c r="B73" s="53" t="s">
        <v>104</v>
      </c>
      <c r="C73" s="61"/>
      <c r="D73" s="43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6"/>
      <c r="AI73" s="37"/>
      <c r="AJ73" s="31"/>
      <c r="AK73" s="31"/>
      <c r="AL73" s="31"/>
      <c r="AM73" s="31"/>
      <c r="AN73" s="31"/>
      <c r="AO73" s="31"/>
      <c r="AP73" s="31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</row>
    <row r="74" ht="15.75" customHeight="1">
      <c r="B74" s="20" t="s">
        <v>105</v>
      </c>
      <c r="C74" s="63"/>
      <c r="D74" s="22">
        <f t="shared" ref="D74:D98" si="9">SUM(E74:Z74)</f>
        <v>5.7</v>
      </c>
      <c r="E74" s="25">
        <v>5.7</v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6"/>
      <c r="AI74" s="37"/>
      <c r="AJ74" s="31"/>
      <c r="AK74" s="31"/>
      <c r="AL74" s="31"/>
      <c r="AM74" s="31"/>
      <c r="AN74" s="31"/>
      <c r="AO74" s="31"/>
      <c r="AP74" s="31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</row>
    <row r="75" ht="15.75" customHeight="1">
      <c r="B75" s="20" t="s">
        <v>106</v>
      </c>
      <c r="C75" s="63"/>
      <c r="D75" s="22">
        <f t="shared" si="9"/>
        <v>21.009</v>
      </c>
      <c r="E75" s="23">
        <v>6.0</v>
      </c>
      <c r="F75" s="25">
        <v>6.0</v>
      </c>
      <c r="G75" s="25">
        <v>5.51</v>
      </c>
      <c r="H75" s="25">
        <v>3.499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6"/>
      <c r="AI75" s="37"/>
      <c r="AJ75" s="31"/>
      <c r="AK75" s="31"/>
      <c r="AL75" s="31"/>
      <c r="AM75" s="31"/>
      <c r="AN75" s="31"/>
      <c r="AO75" s="31"/>
      <c r="AP75" s="31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</row>
    <row r="76" ht="15.75" customHeight="1">
      <c r="B76" s="20" t="s">
        <v>107</v>
      </c>
      <c r="C76" s="64" t="s">
        <v>108</v>
      </c>
      <c r="D76" s="22">
        <f t="shared" si="9"/>
        <v>2.118</v>
      </c>
      <c r="E76" s="23">
        <v>2.118</v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6"/>
      <c r="AI76" s="37"/>
      <c r="AJ76" s="31"/>
      <c r="AK76" s="31"/>
      <c r="AL76" s="31"/>
      <c r="AM76" s="31"/>
      <c r="AN76" s="31"/>
      <c r="AO76" s="31"/>
      <c r="AP76" s="31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</row>
    <row r="77" ht="15.75" customHeight="1">
      <c r="B77" s="20" t="s">
        <v>109</v>
      </c>
      <c r="C77" s="65"/>
      <c r="D77" s="22">
        <f t="shared" si="9"/>
        <v>2.316</v>
      </c>
      <c r="E77" s="23">
        <v>2.316</v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6"/>
      <c r="AI77" s="37"/>
      <c r="AJ77" s="31"/>
      <c r="AK77" s="31"/>
      <c r="AL77" s="31"/>
      <c r="AM77" s="31"/>
      <c r="AN77" s="31"/>
      <c r="AO77" s="31"/>
      <c r="AP77" s="31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</row>
    <row r="78" ht="15.75" customHeight="1">
      <c r="B78" s="20" t="s">
        <v>110</v>
      </c>
      <c r="C78" s="65"/>
      <c r="D78" s="22">
        <f t="shared" si="9"/>
        <v>1.734</v>
      </c>
      <c r="E78" s="23">
        <v>1.734</v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6"/>
      <c r="AI78" s="37"/>
      <c r="AJ78" s="31"/>
      <c r="AK78" s="31"/>
      <c r="AL78" s="31"/>
      <c r="AM78" s="31"/>
      <c r="AN78" s="31"/>
      <c r="AO78" s="31"/>
      <c r="AP78" s="31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</row>
    <row r="79" ht="15.75" customHeight="1">
      <c r="B79" s="20" t="s">
        <v>111</v>
      </c>
      <c r="C79" s="65" t="s">
        <v>112</v>
      </c>
      <c r="D79" s="22">
        <f t="shared" si="9"/>
        <v>0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6"/>
      <c r="AI79" s="37"/>
      <c r="AJ79" s="31"/>
      <c r="AK79" s="31"/>
      <c r="AL79" s="31"/>
      <c r="AM79" s="31"/>
      <c r="AN79" s="31"/>
      <c r="AO79" s="31"/>
      <c r="AP79" s="31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</row>
    <row r="80" ht="15.75" customHeight="1">
      <c r="B80" s="66" t="s">
        <v>26</v>
      </c>
      <c r="C80" s="67" t="s">
        <v>113</v>
      </c>
      <c r="D80" s="22">
        <f t="shared" si="9"/>
        <v>0.613</v>
      </c>
      <c r="E80" s="23">
        <v>0.613</v>
      </c>
      <c r="F80" s="23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6"/>
      <c r="AI80" s="37"/>
      <c r="AJ80" s="31"/>
      <c r="AK80" s="31"/>
      <c r="AL80" s="31"/>
      <c r="AM80" s="31"/>
      <c r="AN80" s="31"/>
      <c r="AO80" s="31"/>
      <c r="AP80" s="31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</row>
    <row r="81" ht="15.75" customHeight="1">
      <c r="B81" s="66" t="s">
        <v>114</v>
      </c>
      <c r="C81" s="67"/>
      <c r="D81" s="22">
        <f t="shared" si="9"/>
        <v>15.64</v>
      </c>
      <c r="E81" s="23">
        <v>6.0</v>
      </c>
      <c r="F81" s="23">
        <v>6.0</v>
      </c>
      <c r="G81" s="25">
        <v>3.64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6"/>
      <c r="AI81" s="37"/>
      <c r="AJ81" s="31"/>
      <c r="AK81" s="31"/>
      <c r="AL81" s="31"/>
      <c r="AM81" s="31"/>
      <c r="AN81" s="31"/>
      <c r="AO81" s="31"/>
      <c r="AP81" s="31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</row>
    <row r="82" ht="15.75" customHeight="1">
      <c r="B82" s="66" t="s">
        <v>115</v>
      </c>
      <c r="C82" s="67" t="s">
        <v>116</v>
      </c>
      <c r="D82" s="22">
        <f t="shared" si="9"/>
        <v>2.486</v>
      </c>
      <c r="E82" s="23">
        <v>1.182</v>
      </c>
      <c r="F82" s="25">
        <v>1.304</v>
      </c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6"/>
      <c r="AI82" s="37"/>
      <c r="AJ82" s="31"/>
      <c r="AK82" s="31"/>
      <c r="AL82" s="31"/>
      <c r="AM82" s="31"/>
      <c r="AN82" s="31"/>
      <c r="AO82" s="31"/>
      <c r="AP82" s="31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</row>
    <row r="83" ht="15.75" customHeight="1">
      <c r="B83" s="66" t="s">
        <v>117</v>
      </c>
      <c r="C83" s="68" t="s">
        <v>118</v>
      </c>
      <c r="D83" s="22">
        <f t="shared" si="9"/>
        <v>0</v>
      </c>
      <c r="E83" s="23"/>
      <c r="F83" s="23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6"/>
      <c r="AI83" s="37"/>
      <c r="AJ83" s="31"/>
      <c r="AK83" s="31"/>
      <c r="AL83" s="31"/>
      <c r="AM83" s="31"/>
      <c r="AN83" s="31"/>
      <c r="AO83" s="31"/>
      <c r="AP83" s="31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</row>
    <row r="84" ht="15.75" customHeight="1">
      <c r="B84" s="66" t="s">
        <v>119</v>
      </c>
      <c r="C84" s="69"/>
      <c r="D84" s="22">
        <f t="shared" si="9"/>
        <v>3.7</v>
      </c>
      <c r="E84" s="23">
        <v>3.7</v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6"/>
      <c r="AI84" s="37"/>
      <c r="AJ84" s="31"/>
      <c r="AK84" s="31"/>
      <c r="AL84" s="31"/>
      <c r="AM84" s="31"/>
      <c r="AN84" s="31"/>
      <c r="AO84" s="31"/>
      <c r="AP84" s="31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</row>
    <row r="85" ht="15.75" customHeight="1">
      <c r="B85" s="66" t="s">
        <v>120</v>
      </c>
      <c r="C85" s="70" t="s">
        <v>121</v>
      </c>
      <c r="D85" s="22">
        <f t="shared" si="9"/>
        <v>13.01</v>
      </c>
      <c r="E85" s="23">
        <v>6.0</v>
      </c>
      <c r="F85" s="25">
        <v>6.0</v>
      </c>
      <c r="G85" s="25">
        <v>1.01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6"/>
      <c r="AI85" s="37"/>
      <c r="AJ85" s="31"/>
      <c r="AK85" s="31"/>
      <c r="AL85" s="31"/>
      <c r="AM85" s="31"/>
      <c r="AN85" s="31"/>
      <c r="AO85" s="31"/>
      <c r="AP85" s="31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</row>
    <row r="86" ht="15.75" customHeight="1">
      <c r="B86" s="66" t="s">
        <v>30</v>
      </c>
      <c r="C86" s="71"/>
      <c r="D86" s="22">
        <f t="shared" si="9"/>
        <v>7.075</v>
      </c>
      <c r="E86" s="23">
        <v>4.398</v>
      </c>
      <c r="F86" s="23">
        <v>2.677</v>
      </c>
      <c r="G86" s="23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6"/>
      <c r="AI86" s="37"/>
      <c r="AJ86" s="31"/>
      <c r="AK86" s="31"/>
      <c r="AL86" s="31"/>
      <c r="AM86" s="31"/>
      <c r="AN86" s="31"/>
      <c r="AO86" s="31"/>
      <c r="AP86" s="31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</row>
    <row r="87" ht="15.75" customHeight="1">
      <c r="B87" s="66" t="s">
        <v>122</v>
      </c>
      <c r="C87" s="65"/>
      <c r="D87" s="22">
        <f t="shared" si="9"/>
        <v>5.166</v>
      </c>
      <c r="E87" s="23">
        <v>5.166</v>
      </c>
      <c r="F87" s="23"/>
      <c r="G87" s="25"/>
      <c r="H87" s="23"/>
      <c r="I87" s="23"/>
      <c r="J87" s="23"/>
      <c r="K87" s="23"/>
      <c r="L87" s="23"/>
      <c r="M87" s="25"/>
      <c r="N87" s="25"/>
      <c r="O87" s="25"/>
      <c r="P87" s="25"/>
      <c r="Q87" s="25"/>
      <c r="R87" s="25"/>
      <c r="S87" s="25"/>
      <c r="T87" s="25"/>
      <c r="U87" s="25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6"/>
      <c r="AI87" s="37"/>
      <c r="AJ87" s="31"/>
      <c r="AK87" s="31"/>
      <c r="AL87" s="31"/>
      <c r="AM87" s="31"/>
      <c r="AN87" s="31"/>
      <c r="AO87" s="31"/>
      <c r="AP87" s="31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</row>
    <row r="88" ht="15.75" customHeight="1">
      <c r="B88" s="66" t="s">
        <v>123</v>
      </c>
      <c r="C88" s="65" t="s">
        <v>124</v>
      </c>
      <c r="D88" s="22">
        <f t="shared" si="9"/>
        <v>1.27</v>
      </c>
      <c r="E88" s="23">
        <v>1.27</v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6"/>
      <c r="AI88" s="37"/>
      <c r="AJ88" s="31"/>
      <c r="AK88" s="31"/>
      <c r="AL88" s="31"/>
      <c r="AM88" s="31"/>
      <c r="AN88" s="31"/>
      <c r="AO88" s="31"/>
      <c r="AP88" s="31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</row>
    <row r="89" ht="15.75" customHeight="1">
      <c r="B89" s="66" t="s">
        <v>125</v>
      </c>
      <c r="C89" s="72"/>
      <c r="D89" s="22">
        <f t="shared" si="9"/>
        <v>3.591</v>
      </c>
      <c r="E89" s="23">
        <v>2.874</v>
      </c>
      <c r="F89" s="25">
        <v>0.717</v>
      </c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6"/>
      <c r="AI89" s="37"/>
      <c r="AJ89" s="31"/>
      <c r="AK89" s="31"/>
      <c r="AL89" s="31"/>
      <c r="AM89" s="31"/>
      <c r="AN89" s="31"/>
      <c r="AO89" s="31"/>
      <c r="AP89" s="31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</row>
    <row r="90" ht="15.75" customHeight="1">
      <c r="B90" s="66" t="s">
        <v>126</v>
      </c>
      <c r="C90" s="70" t="s">
        <v>127</v>
      </c>
      <c r="D90" s="22">
        <f t="shared" si="9"/>
        <v>2.882</v>
      </c>
      <c r="E90" s="23">
        <v>2.882</v>
      </c>
      <c r="F90" s="23"/>
      <c r="G90" s="23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6"/>
      <c r="AI90" s="37"/>
      <c r="AJ90" s="31"/>
      <c r="AK90" s="31"/>
      <c r="AL90" s="31"/>
      <c r="AM90" s="31"/>
      <c r="AN90" s="31"/>
      <c r="AO90" s="31"/>
      <c r="AP90" s="31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</row>
    <row r="91" ht="15.75" customHeight="1">
      <c r="B91" s="66" t="s">
        <v>128</v>
      </c>
      <c r="C91" s="71" t="s">
        <v>129</v>
      </c>
      <c r="D91" s="22">
        <f t="shared" si="9"/>
        <v>4.858</v>
      </c>
      <c r="E91" s="21">
        <v>3.833</v>
      </c>
      <c r="F91" s="25">
        <v>0.645</v>
      </c>
      <c r="G91" s="25">
        <v>0.38</v>
      </c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6"/>
      <c r="AI91" s="37"/>
      <c r="AJ91" s="31"/>
      <c r="AK91" s="31"/>
      <c r="AL91" s="31"/>
      <c r="AM91" s="31"/>
      <c r="AN91" s="31"/>
      <c r="AO91" s="31"/>
      <c r="AP91" s="31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</row>
    <row r="92" ht="15.75" customHeight="1">
      <c r="B92" s="20" t="s">
        <v>130</v>
      </c>
      <c r="C92" s="69"/>
      <c r="D92" s="22">
        <f t="shared" si="9"/>
        <v>5.146</v>
      </c>
      <c r="E92" s="23">
        <v>2.869</v>
      </c>
      <c r="F92" s="23">
        <v>2.277</v>
      </c>
      <c r="G92" s="23"/>
      <c r="H92" s="23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6"/>
      <c r="AI92" s="37"/>
      <c r="AJ92" s="31"/>
      <c r="AK92" s="31"/>
      <c r="AL92" s="31"/>
      <c r="AM92" s="31"/>
      <c r="AN92" s="31"/>
      <c r="AO92" s="31"/>
      <c r="AP92" s="31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</row>
    <row r="93" ht="15.75" customHeight="1">
      <c r="B93" s="20" t="s">
        <v>131</v>
      </c>
      <c r="C93" s="42"/>
      <c r="D93" s="22">
        <f t="shared" si="9"/>
        <v>2.26</v>
      </c>
      <c r="E93" s="23">
        <v>2.26</v>
      </c>
      <c r="F93" s="23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6"/>
      <c r="AI93" s="37"/>
      <c r="AJ93" s="31"/>
      <c r="AK93" s="31"/>
      <c r="AL93" s="31"/>
      <c r="AM93" s="31"/>
      <c r="AN93" s="31"/>
      <c r="AO93" s="31"/>
      <c r="AP93" s="31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</row>
    <row r="94" ht="15.75" customHeight="1">
      <c r="B94" s="20" t="s">
        <v>132</v>
      </c>
      <c r="C94" s="42"/>
      <c r="D94" s="22">
        <f t="shared" si="9"/>
        <v>0.243</v>
      </c>
      <c r="E94" s="23">
        <v>0.243</v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6"/>
      <c r="AI94" s="37"/>
      <c r="AJ94" s="31"/>
      <c r="AK94" s="31"/>
      <c r="AL94" s="31"/>
      <c r="AM94" s="31"/>
      <c r="AN94" s="31"/>
      <c r="AO94" s="31"/>
      <c r="AP94" s="31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</row>
    <row r="95" ht="15.75" customHeight="1">
      <c r="B95" s="20" t="s">
        <v>133</v>
      </c>
      <c r="C95" s="42"/>
      <c r="D95" s="22">
        <f t="shared" si="9"/>
        <v>0.548</v>
      </c>
      <c r="E95" s="23">
        <v>0.548</v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6"/>
      <c r="AI95" s="37"/>
      <c r="AJ95" s="31"/>
      <c r="AK95" s="31"/>
      <c r="AL95" s="31"/>
      <c r="AM95" s="31"/>
      <c r="AN95" s="31"/>
      <c r="AO95" s="31"/>
      <c r="AP95" s="31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</row>
    <row r="96" ht="15.75" customHeight="1">
      <c r="B96" s="20" t="s">
        <v>134</v>
      </c>
      <c r="C96" s="42"/>
      <c r="D96" s="22">
        <f t="shared" si="9"/>
        <v>3.348</v>
      </c>
      <c r="E96" s="23">
        <v>1.5</v>
      </c>
      <c r="F96" s="25">
        <v>0.348</v>
      </c>
      <c r="G96" s="25">
        <v>1.5</v>
      </c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6"/>
      <c r="AI96" s="37"/>
      <c r="AJ96" s="31"/>
      <c r="AK96" s="31"/>
      <c r="AL96" s="31"/>
      <c r="AM96" s="31"/>
      <c r="AN96" s="31"/>
      <c r="AO96" s="31"/>
      <c r="AP96" s="31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</row>
    <row r="97" ht="15.75" customHeight="1">
      <c r="B97" s="20" t="s">
        <v>135</v>
      </c>
      <c r="C97" s="45"/>
      <c r="D97" s="22">
        <f t="shared" si="9"/>
        <v>0.406</v>
      </c>
      <c r="E97" s="23">
        <v>0.31</v>
      </c>
      <c r="F97" s="23">
        <v>0.096</v>
      </c>
      <c r="G97" s="23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6"/>
      <c r="AI97" s="37"/>
      <c r="AJ97" s="31"/>
      <c r="AK97" s="31"/>
      <c r="AL97" s="31"/>
      <c r="AM97" s="31"/>
      <c r="AN97" s="31"/>
      <c r="AO97" s="31"/>
      <c r="AP97" s="31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</row>
    <row r="98" ht="15.75" customHeight="1">
      <c r="B98" s="20" t="s">
        <v>136</v>
      </c>
      <c r="C98" s="42"/>
      <c r="D98" s="22">
        <f t="shared" si="9"/>
        <v>0.245</v>
      </c>
      <c r="E98" s="23">
        <v>0.145</v>
      </c>
      <c r="F98" s="23">
        <v>0.1</v>
      </c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6"/>
      <c r="AI98" s="37"/>
      <c r="AJ98" s="31"/>
      <c r="AK98" s="31"/>
      <c r="AL98" s="31"/>
      <c r="AM98" s="31"/>
      <c r="AN98" s="31"/>
      <c r="AO98" s="31"/>
      <c r="AP98" s="31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</row>
    <row r="99" ht="15.75" customHeight="1">
      <c r="B99" s="20"/>
      <c r="C99" s="42"/>
      <c r="D99" s="22"/>
      <c r="E99" s="23"/>
      <c r="F99" s="23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6"/>
      <c r="AI99" s="37"/>
      <c r="AJ99" s="31"/>
      <c r="AK99" s="31"/>
      <c r="AL99" s="31"/>
      <c r="AM99" s="31"/>
      <c r="AN99" s="31"/>
      <c r="AO99" s="31"/>
      <c r="AP99" s="31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</row>
    <row r="100" ht="15.75" customHeight="1">
      <c r="B100" s="73" t="s">
        <v>137</v>
      </c>
      <c r="C100" s="37"/>
      <c r="D100" s="43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6"/>
      <c r="AI100" s="37"/>
      <c r="AJ100" s="31"/>
      <c r="AK100" s="31"/>
      <c r="AL100" s="31"/>
      <c r="AM100" s="31"/>
      <c r="AN100" s="31"/>
      <c r="AO100" s="31"/>
      <c r="AP100" s="31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</row>
    <row r="101" ht="15.75" customHeight="1">
      <c r="B101" s="38" t="s">
        <v>138</v>
      </c>
      <c r="C101" s="74"/>
      <c r="D101" s="22">
        <f t="shared" ref="D101:D106" si="10">SUM(E101:Z101)</f>
        <v>2.775</v>
      </c>
      <c r="E101" s="25">
        <v>2.775</v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6"/>
      <c r="AI101" s="37"/>
      <c r="AJ101" s="31"/>
      <c r="AK101" s="31"/>
      <c r="AL101" s="31"/>
      <c r="AM101" s="31"/>
      <c r="AN101" s="31"/>
      <c r="AO101" s="31"/>
      <c r="AP101" s="31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</row>
    <row r="102" ht="15.75" customHeight="1">
      <c r="B102" s="75" t="s">
        <v>139</v>
      </c>
      <c r="C102" s="76"/>
      <c r="D102" s="22">
        <f t="shared" si="10"/>
        <v>11.898</v>
      </c>
      <c r="E102" s="23">
        <v>6.0</v>
      </c>
      <c r="F102" s="25">
        <v>5.795</v>
      </c>
      <c r="G102" s="25">
        <v>0.103</v>
      </c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6"/>
      <c r="AI102" s="37"/>
      <c r="AJ102" s="31"/>
      <c r="AK102" s="31"/>
      <c r="AL102" s="31"/>
      <c r="AM102" s="31"/>
      <c r="AN102" s="31"/>
      <c r="AO102" s="31"/>
      <c r="AP102" s="31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</row>
    <row r="103" ht="15.75" customHeight="1">
      <c r="B103" s="38" t="s">
        <v>140</v>
      </c>
      <c r="C103" s="40" t="s">
        <v>141</v>
      </c>
      <c r="D103" s="22">
        <f t="shared" si="10"/>
        <v>13.794</v>
      </c>
      <c r="E103" s="25">
        <v>5.0</v>
      </c>
      <c r="F103" s="25">
        <v>5.0</v>
      </c>
      <c r="G103" s="24">
        <v>3.794</v>
      </c>
      <c r="H103" s="25"/>
      <c r="I103" s="25"/>
      <c r="J103" s="25"/>
      <c r="K103" s="54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6"/>
      <c r="AI103" s="37"/>
      <c r="AJ103" s="31"/>
      <c r="AK103" s="31"/>
      <c r="AL103" s="31"/>
      <c r="AM103" s="31"/>
      <c r="AN103" s="31"/>
      <c r="AO103" s="31"/>
      <c r="AP103" s="31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</row>
    <row r="104" ht="15.75" customHeight="1">
      <c r="B104" s="38" t="s">
        <v>142</v>
      </c>
      <c r="C104" s="76"/>
      <c r="D104" s="22">
        <f t="shared" si="10"/>
        <v>10</v>
      </c>
      <c r="E104" s="25">
        <v>5.0</v>
      </c>
      <c r="F104" s="25">
        <v>5.0</v>
      </c>
      <c r="G104" s="25"/>
      <c r="H104" s="25"/>
      <c r="I104" s="25"/>
      <c r="J104" s="25"/>
      <c r="K104" s="54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6"/>
      <c r="AI104" s="37"/>
      <c r="AJ104" s="31"/>
      <c r="AK104" s="31"/>
      <c r="AL104" s="31"/>
      <c r="AM104" s="31"/>
      <c r="AN104" s="31"/>
      <c r="AO104" s="31"/>
      <c r="AP104" s="31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</row>
    <row r="105" ht="15.75" customHeight="1">
      <c r="B105" s="38" t="s">
        <v>143</v>
      </c>
      <c r="C105" s="76"/>
      <c r="D105" s="22">
        <f t="shared" si="10"/>
        <v>12.142</v>
      </c>
      <c r="E105" s="23">
        <v>6.0</v>
      </c>
      <c r="F105" s="23">
        <v>6.0</v>
      </c>
      <c r="G105" s="25">
        <v>0.142</v>
      </c>
      <c r="H105" s="25"/>
      <c r="I105" s="25"/>
      <c r="J105" s="25"/>
      <c r="K105" s="54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6"/>
      <c r="AI105" s="37"/>
      <c r="AJ105" s="31"/>
      <c r="AK105" s="31"/>
      <c r="AL105" s="31"/>
      <c r="AM105" s="31"/>
      <c r="AN105" s="31"/>
      <c r="AO105" s="31"/>
      <c r="AP105" s="31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</row>
    <row r="106" ht="15.75" customHeight="1">
      <c r="B106" s="77" t="s">
        <v>144</v>
      </c>
      <c r="C106" s="39">
        <v>975.0</v>
      </c>
      <c r="D106" s="22">
        <f t="shared" si="10"/>
        <v>15.605</v>
      </c>
      <c r="E106" s="23">
        <v>6.0</v>
      </c>
      <c r="F106" s="23">
        <v>6.0</v>
      </c>
      <c r="G106" s="28">
        <v>3.605</v>
      </c>
      <c r="H106" s="24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6"/>
      <c r="AI106" s="37"/>
      <c r="AJ106" s="31"/>
      <c r="AK106" s="31"/>
      <c r="AL106" s="31"/>
      <c r="AM106" s="31"/>
      <c r="AN106" s="31"/>
      <c r="AO106" s="31"/>
      <c r="AP106" s="31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</row>
    <row r="107" ht="15.75" customHeight="1">
      <c r="B107" s="78"/>
      <c r="C107" s="76"/>
      <c r="D107" s="22"/>
      <c r="E107" s="23"/>
      <c r="F107" s="23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6"/>
      <c r="AI107" s="37"/>
      <c r="AJ107" s="31"/>
      <c r="AK107" s="31"/>
      <c r="AL107" s="31"/>
      <c r="AM107" s="31"/>
      <c r="AN107" s="31"/>
      <c r="AO107" s="31"/>
      <c r="AP107" s="31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</row>
    <row r="108" ht="15.75" customHeight="1">
      <c r="B108" s="53" t="s">
        <v>145</v>
      </c>
      <c r="C108" s="79"/>
      <c r="D108" s="80"/>
      <c r="E108" s="31"/>
      <c r="F108" s="31"/>
      <c r="G108" s="31"/>
      <c r="H108" s="31"/>
      <c r="I108" s="31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6"/>
      <c r="AI108" s="37"/>
      <c r="AJ108" s="31"/>
      <c r="AK108" s="31"/>
      <c r="AL108" s="31"/>
      <c r="AM108" s="31"/>
      <c r="AN108" s="31"/>
      <c r="AO108" s="31"/>
      <c r="AP108" s="31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</row>
    <row r="109" ht="15.75" customHeight="1">
      <c r="B109" s="81" t="s">
        <v>146</v>
      </c>
      <c r="C109" s="82">
        <v>3168.0</v>
      </c>
      <c r="D109" s="22">
        <f t="shared" ref="D109:D113" si="11">SUM(E109:Z109)</f>
        <v>0</v>
      </c>
      <c r="E109" s="31"/>
      <c r="F109" s="31"/>
      <c r="G109" s="31"/>
      <c r="H109" s="31"/>
      <c r="I109" s="31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6"/>
      <c r="AI109" s="37"/>
      <c r="AJ109" s="31"/>
      <c r="AK109" s="31"/>
      <c r="AL109" s="31"/>
      <c r="AM109" s="31"/>
      <c r="AN109" s="31"/>
      <c r="AO109" s="31"/>
      <c r="AP109" s="31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</row>
    <row r="110" ht="15.75" customHeight="1">
      <c r="B110" s="81" t="s">
        <v>147</v>
      </c>
      <c r="C110" s="82"/>
      <c r="D110" s="22">
        <f t="shared" si="11"/>
        <v>0</v>
      </c>
      <c r="E110" s="31"/>
      <c r="F110" s="31"/>
      <c r="G110" s="31"/>
      <c r="H110" s="31"/>
      <c r="I110" s="31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6"/>
      <c r="AI110" s="37"/>
      <c r="AJ110" s="31"/>
      <c r="AK110" s="31"/>
      <c r="AL110" s="31"/>
      <c r="AM110" s="31"/>
      <c r="AN110" s="31"/>
      <c r="AO110" s="31"/>
      <c r="AP110" s="31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</row>
    <row r="111" ht="15.75" customHeight="1">
      <c r="B111" s="81" t="s">
        <v>148</v>
      </c>
      <c r="C111" s="82" t="s">
        <v>149</v>
      </c>
      <c r="D111" s="22">
        <f t="shared" si="11"/>
        <v>0</v>
      </c>
      <c r="E111" s="31"/>
      <c r="F111" s="31"/>
      <c r="G111" s="31"/>
      <c r="H111" s="31"/>
      <c r="I111" s="31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6"/>
      <c r="AI111" s="37"/>
      <c r="AJ111" s="31"/>
      <c r="AK111" s="31"/>
      <c r="AL111" s="31"/>
      <c r="AM111" s="31"/>
      <c r="AN111" s="31"/>
      <c r="AO111" s="31"/>
      <c r="AP111" s="31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</row>
    <row r="112" ht="15.75" customHeight="1">
      <c r="B112" s="81" t="s">
        <v>150</v>
      </c>
      <c r="C112" s="64" t="s">
        <v>151</v>
      </c>
      <c r="D112" s="22">
        <f t="shared" si="11"/>
        <v>0</v>
      </c>
      <c r="E112" s="31"/>
      <c r="F112" s="31"/>
      <c r="G112" s="31"/>
      <c r="H112" s="31"/>
      <c r="I112" s="31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6"/>
      <c r="AI112" s="37"/>
      <c r="AJ112" s="31"/>
      <c r="AK112" s="31"/>
      <c r="AL112" s="31"/>
      <c r="AM112" s="31"/>
      <c r="AN112" s="31"/>
      <c r="AO112" s="31"/>
      <c r="AP112" s="31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</row>
    <row r="113" ht="15.75" customHeight="1">
      <c r="B113" s="81" t="s">
        <v>152</v>
      </c>
      <c r="C113" s="64" t="s">
        <v>153</v>
      </c>
      <c r="D113" s="22">
        <f t="shared" si="11"/>
        <v>0</v>
      </c>
      <c r="E113" s="31"/>
      <c r="F113" s="31"/>
      <c r="G113" s="31"/>
      <c r="H113" s="31"/>
      <c r="I113" s="31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6"/>
      <c r="AI113" s="37"/>
      <c r="AJ113" s="31"/>
      <c r="AK113" s="31"/>
      <c r="AL113" s="31"/>
      <c r="AM113" s="31"/>
      <c r="AN113" s="31"/>
      <c r="AO113" s="31"/>
      <c r="AP113" s="31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</row>
    <row r="114" ht="15.75" customHeight="1">
      <c r="B114" s="38"/>
      <c r="C114" s="79"/>
      <c r="D114" s="80"/>
      <c r="E114" s="31"/>
      <c r="F114" s="31"/>
      <c r="G114" s="31"/>
      <c r="H114" s="31"/>
      <c r="I114" s="31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6"/>
      <c r="AI114" s="37"/>
      <c r="AJ114" s="31"/>
      <c r="AK114" s="31"/>
      <c r="AL114" s="31"/>
      <c r="AM114" s="31"/>
      <c r="AN114" s="31"/>
      <c r="AO114" s="31"/>
      <c r="AP114" s="31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</row>
    <row r="115" ht="15.75" customHeight="1">
      <c r="B115" s="34" t="s">
        <v>154</v>
      </c>
      <c r="C115" s="79"/>
      <c r="D115" s="80"/>
      <c r="E115" s="31"/>
      <c r="F115" s="31"/>
      <c r="G115" s="31"/>
      <c r="H115" s="31"/>
      <c r="I115" s="31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6"/>
      <c r="AI115" s="37"/>
      <c r="AJ115" s="31"/>
      <c r="AK115" s="31"/>
      <c r="AL115" s="31"/>
      <c r="AM115" s="31"/>
      <c r="AN115" s="31"/>
      <c r="AO115" s="31"/>
      <c r="AP115" s="31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</row>
    <row r="116" ht="15.75" customHeight="1">
      <c r="B116" s="20" t="s">
        <v>7</v>
      </c>
      <c r="C116" s="29" t="s">
        <v>155</v>
      </c>
      <c r="D116" s="22">
        <f t="shared" ref="D116:D122" si="12">SUM(E116:Z116)</f>
        <v>13.192</v>
      </c>
      <c r="E116" s="83">
        <v>6.0</v>
      </c>
      <c r="F116" s="83">
        <v>6.0</v>
      </c>
      <c r="G116" s="83">
        <v>1.032</v>
      </c>
      <c r="H116" s="83">
        <v>0.16</v>
      </c>
      <c r="I116" s="83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6"/>
      <c r="AI116" s="37"/>
      <c r="AJ116" s="31"/>
      <c r="AK116" s="31"/>
      <c r="AL116" s="31"/>
      <c r="AM116" s="31"/>
      <c r="AN116" s="31"/>
      <c r="AO116" s="31"/>
      <c r="AP116" s="31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</row>
    <row r="117" ht="15.75" customHeight="1">
      <c r="B117" s="20" t="s">
        <v>156</v>
      </c>
      <c r="C117" s="27" t="s">
        <v>157</v>
      </c>
      <c r="D117" s="22">
        <f t="shared" si="12"/>
        <v>6.999</v>
      </c>
      <c r="E117" s="84">
        <v>5.596</v>
      </c>
      <c r="F117" s="83">
        <v>1.403</v>
      </c>
      <c r="G117" s="85"/>
      <c r="H117" s="85"/>
      <c r="I117" s="8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6"/>
      <c r="AI117" s="37"/>
      <c r="AJ117" s="31"/>
      <c r="AK117" s="31"/>
      <c r="AL117" s="31"/>
      <c r="AM117" s="31"/>
      <c r="AN117" s="31"/>
      <c r="AO117" s="31"/>
      <c r="AP117" s="31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</row>
    <row r="118" ht="15.75" customHeight="1">
      <c r="B118" s="20" t="s">
        <v>158</v>
      </c>
      <c r="C118" s="21"/>
      <c r="D118" s="22">
        <f t="shared" si="12"/>
        <v>6.198</v>
      </c>
      <c r="E118" s="83">
        <v>6.0</v>
      </c>
      <c r="F118" s="83">
        <v>0.198</v>
      </c>
      <c r="G118" s="85"/>
      <c r="H118" s="85"/>
      <c r="I118" s="8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6"/>
      <c r="AI118" s="37"/>
      <c r="AJ118" s="31"/>
      <c r="AK118" s="31"/>
      <c r="AL118" s="31"/>
      <c r="AM118" s="31"/>
      <c r="AN118" s="31"/>
      <c r="AO118" s="31"/>
      <c r="AP118" s="31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</row>
    <row r="119" ht="15.75" customHeight="1">
      <c r="B119" s="20" t="s">
        <v>159</v>
      </c>
      <c r="C119" s="27" t="s">
        <v>160</v>
      </c>
      <c r="D119" s="22">
        <f t="shared" si="12"/>
        <v>13.16</v>
      </c>
      <c r="E119" s="83">
        <v>5.875</v>
      </c>
      <c r="F119" s="83">
        <v>4.075</v>
      </c>
      <c r="G119" s="83">
        <v>3.21</v>
      </c>
      <c r="H119" s="83"/>
      <c r="I119" s="8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6"/>
      <c r="AI119" s="37"/>
      <c r="AJ119" s="31"/>
      <c r="AK119" s="31"/>
      <c r="AL119" s="31"/>
      <c r="AM119" s="31"/>
      <c r="AN119" s="31"/>
      <c r="AO119" s="31"/>
      <c r="AP119" s="31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</row>
    <row r="120" ht="15.75" customHeight="1">
      <c r="B120" s="20" t="s">
        <v>161</v>
      </c>
      <c r="C120" s="21"/>
      <c r="D120" s="22">
        <f t="shared" si="12"/>
        <v>7.68</v>
      </c>
      <c r="E120" s="83">
        <v>6.0</v>
      </c>
      <c r="F120" s="83">
        <v>0.94</v>
      </c>
      <c r="G120" s="83">
        <v>0.74</v>
      </c>
      <c r="H120" s="83"/>
      <c r="I120" s="83"/>
      <c r="J120" s="83"/>
      <c r="K120" s="83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6"/>
      <c r="AI120" s="37"/>
      <c r="AJ120" s="31"/>
      <c r="AK120" s="31"/>
      <c r="AL120" s="31"/>
      <c r="AM120" s="31"/>
      <c r="AN120" s="31"/>
      <c r="AO120" s="31"/>
      <c r="AP120" s="31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</row>
    <row r="121" ht="15.75" customHeight="1">
      <c r="B121" s="20" t="s">
        <v>18</v>
      </c>
      <c r="C121" s="29" t="s">
        <v>162</v>
      </c>
      <c r="D121" s="22">
        <f t="shared" si="12"/>
        <v>8.6</v>
      </c>
      <c r="E121" s="83">
        <v>6.0</v>
      </c>
      <c r="F121" s="83">
        <v>2.06</v>
      </c>
      <c r="G121" s="83">
        <v>0.54</v>
      </c>
      <c r="H121" s="83"/>
      <c r="I121" s="8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6"/>
      <c r="AI121" s="37"/>
      <c r="AJ121" s="31"/>
      <c r="AK121" s="31"/>
      <c r="AL121" s="31"/>
      <c r="AM121" s="31"/>
      <c r="AN121" s="31"/>
      <c r="AO121" s="31"/>
      <c r="AP121" s="31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</row>
    <row r="122" ht="15.75" customHeight="1">
      <c r="B122" s="20" t="s">
        <v>163</v>
      </c>
      <c r="C122" s="29"/>
      <c r="D122" s="22">
        <f t="shared" si="12"/>
        <v>2.7</v>
      </c>
      <c r="E122" s="83">
        <v>2.7</v>
      </c>
      <c r="F122" s="83"/>
      <c r="G122" s="85"/>
      <c r="H122" s="85"/>
      <c r="I122" s="8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6"/>
      <c r="AI122" s="37"/>
      <c r="AJ122" s="31"/>
      <c r="AK122" s="31"/>
      <c r="AL122" s="31"/>
      <c r="AM122" s="31"/>
      <c r="AN122" s="31"/>
      <c r="AO122" s="31"/>
      <c r="AP122" s="31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</row>
    <row r="123" ht="15.75" customHeight="1">
      <c r="B123" s="20"/>
      <c r="C123" s="61"/>
      <c r="D123" s="43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6"/>
      <c r="AI123" s="37"/>
      <c r="AJ123" s="31"/>
      <c r="AK123" s="31"/>
      <c r="AL123" s="31"/>
      <c r="AM123" s="31"/>
      <c r="AN123" s="31"/>
      <c r="AO123" s="31"/>
      <c r="AP123" s="31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</row>
    <row r="124" ht="15.75" customHeight="1">
      <c r="B124" s="34" t="s">
        <v>164</v>
      </c>
      <c r="C124" s="61"/>
      <c r="D124" s="43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6"/>
      <c r="AI124" s="37"/>
      <c r="AJ124" s="31"/>
      <c r="AK124" s="31"/>
      <c r="AL124" s="31"/>
      <c r="AM124" s="31"/>
      <c r="AN124" s="31"/>
      <c r="AO124" s="31"/>
      <c r="AP124" s="31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</row>
    <row r="125" ht="15.75" customHeight="1">
      <c r="B125" s="20" t="s">
        <v>165</v>
      </c>
      <c r="C125" s="79"/>
      <c r="D125" s="22">
        <f t="shared" ref="D125:D132" si="13">SUM(E125:Z125)</f>
        <v>6</v>
      </c>
      <c r="E125" s="23">
        <v>6.0</v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6"/>
      <c r="AI125" s="37"/>
      <c r="AJ125" s="31"/>
      <c r="AK125" s="31"/>
      <c r="AL125" s="31"/>
      <c r="AM125" s="31"/>
      <c r="AN125" s="31"/>
      <c r="AO125" s="31"/>
      <c r="AP125" s="31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</row>
    <row r="126" ht="15.75" customHeight="1">
      <c r="B126" s="20" t="s">
        <v>166</v>
      </c>
      <c r="C126" s="29" t="s">
        <v>167</v>
      </c>
      <c r="D126" s="22">
        <f t="shared" si="13"/>
        <v>6.417</v>
      </c>
      <c r="E126" s="23">
        <v>6.0</v>
      </c>
      <c r="F126" s="23">
        <v>0.417</v>
      </c>
      <c r="G126" s="23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6"/>
      <c r="AI126" s="37"/>
      <c r="AJ126" s="31"/>
      <c r="AK126" s="31"/>
      <c r="AL126" s="31"/>
      <c r="AM126" s="31"/>
      <c r="AN126" s="31"/>
      <c r="AO126" s="31"/>
      <c r="AP126" s="31"/>
      <c r="AQ126" s="32"/>
      <c r="AR126" s="32"/>
      <c r="AS126" s="32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</row>
    <row r="127" ht="15.75" customHeight="1">
      <c r="B127" s="20" t="s">
        <v>168</v>
      </c>
      <c r="C127" s="29" t="s">
        <v>169</v>
      </c>
      <c r="D127" s="22">
        <f t="shared" si="13"/>
        <v>13.382</v>
      </c>
      <c r="E127" s="23">
        <v>6.0</v>
      </c>
      <c r="F127" s="23">
        <v>6.0</v>
      </c>
      <c r="G127" s="23">
        <v>0.446</v>
      </c>
      <c r="H127" s="23">
        <v>0.496</v>
      </c>
      <c r="I127" s="23">
        <v>0.44</v>
      </c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6"/>
      <c r="AI127" s="37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</row>
    <row r="128" ht="15.75" customHeight="1">
      <c r="B128" s="20" t="s">
        <v>170</v>
      </c>
      <c r="C128" s="29" t="s">
        <v>171</v>
      </c>
      <c r="D128" s="22">
        <f t="shared" si="13"/>
        <v>13.219</v>
      </c>
      <c r="E128" s="23">
        <v>6.0</v>
      </c>
      <c r="F128" s="23">
        <v>2.946</v>
      </c>
      <c r="G128" s="23">
        <v>1.0</v>
      </c>
      <c r="H128" s="23">
        <v>0.763</v>
      </c>
      <c r="I128" s="23">
        <v>0.495</v>
      </c>
      <c r="J128" s="23">
        <v>0.446</v>
      </c>
      <c r="K128" s="23">
        <v>0.276</v>
      </c>
      <c r="L128" s="23">
        <v>0.5</v>
      </c>
      <c r="M128" s="23">
        <v>0.398</v>
      </c>
      <c r="N128" s="23">
        <v>0.395</v>
      </c>
      <c r="O128" s="23"/>
      <c r="P128" s="25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5"/>
      <c r="AB128" s="31"/>
      <c r="AC128" s="31"/>
      <c r="AD128" s="31"/>
      <c r="AE128" s="31"/>
      <c r="AF128" s="31"/>
      <c r="AG128" s="31"/>
      <c r="AH128" s="36"/>
      <c r="AI128" s="37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</row>
    <row r="129" ht="15.75" customHeight="1">
      <c r="B129" s="20" t="s">
        <v>172</v>
      </c>
      <c r="C129" s="21"/>
      <c r="D129" s="22">
        <f t="shared" si="13"/>
        <v>9.288</v>
      </c>
      <c r="E129" s="86">
        <v>6.0</v>
      </c>
      <c r="F129" s="23">
        <v>1.588</v>
      </c>
      <c r="G129" s="23">
        <v>0.595</v>
      </c>
      <c r="H129" s="23">
        <v>0.385</v>
      </c>
      <c r="I129" s="23">
        <v>0.36</v>
      </c>
      <c r="J129" s="23">
        <v>0.36</v>
      </c>
      <c r="K129" s="23"/>
      <c r="L129" s="23"/>
      <c r="M129" s="87"/>
      <c r="N129" s="87"/>
      <c r="O129" s="87"/>
      <c r="P129" s="87"/>
      <c r="Q129" s="87"/>
      <c r="R129" s="23"/>
      <c r="S129" s="5"/>
      <c r="T129" s="44"/>
      <c r="U129" s="25"/>
      <c r="V129" s="31"/>
      <c r="W129" s="31"/>
      <c r="X129" s="31"/>
      <c r="Y129" s="31"/>
      <c r="Z129" s="31"/>
      <c r="AA129" s="32"/>
      <c r="AB129" s="31"/>
      <c r="AC129" s="31"/>
      <c r="AD129" s="31"/>
      <c r="AE129" s="31"/>
      <c r="AF129" s="31"/>
      <c r="AG129" s="31"/>
      <c r="AH129" s="36"/>
      <c r="AI129" s="37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</row>
    <row r="130" ht="15.75" customHeight="1">
      <c r="B130" s="20" t="s">
        <v>173</v>
      </c>
      <c r="C130" s="21" t="s">
        <v>174</v>
      </c>
      <c r="D130" s="22">
        <f t="shared" si="13"/>
        <v>7.815</v>
      </c>
      <c r="E130" s="88">
        <v>6.0</v>
      </c>
      <c r="F130" s="23">
        <v>1.815</v>
      </c>
      <c r="G130" s="23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47"/>
      <c r="T130" s="25"/>
      <c r="U130" s="25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6"/>
      <c r="AI130" s="37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</row>
    <row r="131" ht="15.75" customHeight="1">
      <c r="B131" s="20" t="s">
        <v>175</v>
      </c>
      <c r="C131" s="21" t="s">
        <v>176</v>
      </c>
      <c r="D131" s="22">
        <f t="shared" si="13"/>
        <v>9.118</v>
      </c>
      <c r="E131" s="23">
        <v>6.0</v>
      </c>
      <c r="F131" s="23">
        <v>0.308</v>
      </c>
      <c r="G131" s="23">
        <v>2.69</v>
      </c>
      <c r="H131" s="25">
        <v>0.12</v>
      </c>
      <c r="I131" s="23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6"/>
      <c r="AI131" s="37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</row>
    <row r="132" ht="15.75" customHeight="1">
      <c r="B132" s="20" t="s">
        <v>177</v>
      </c>
      <c r="C132" s="29" t="s">
        <v>178</v>
      </c>
      <c r="D132" s="22">
        <f t="shared" si="13"/>
        <v>8.69</v>
      </c>
      <c r="E132" s="23">
        <v>6.0</v>
      </c>
      <c r="F132" s="25">
        <v>2.69</v>
      </c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6"/>
      <c r="AI132" s="37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</row>
    <row r="133" ht="15.75" customHeight="1">
      <c r="B133" s="20"/>
      <c r="C133" s="42"/>
      <c r="D133" s="43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6"/>
      <c r="AI133" s="37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</row>
    <row r="134" ht="15.75" customHeight="1">
      <c r="B134" s="34" t="s">
        <v>179</v>
      </c>
      <c r="C134" s="48"/>
      <c r="D134" s="43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6"/>
      <c r="AI134" s="37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</row>
    <row r="135" ht="15.75" customHeight="1">
      <c r="B135" s="38" t="s">
        <v>180</v>
      </c>
      <c r="C135" s="89"/>
      <c r="D135" s="22">
        <f t="shared" ref="D135:D136" si="14">SUM(E135:Z135)</f>
        <v>6</v>
      </c>
      <c r="E135" s="23">
        <v>6.0</v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6"/>
      <c r="AI135" s="37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</row>
    <row r="136" ht="15.75" customHeight="1">
      <c r="B136" s="38" t="s">
        <v>181</v>
      </c>
      <c r="C136" s="90"/>
      <c r="D136" s="22">
        <f t="shared" si="14"/>
        <v>3.701</v>
      </c>
      <c r="E136" s="23">
        <v>0.861</v>
      </c>
      <c r="F136" s="23">
        <v>0.845</v>
      </c>
      <c r="G136" s="23">
        <v>0.675</v>
      </c>
      <c r="H136" s="23">
        <v>0.46</v>
      </c>
      <c r="I136" s="23">
        <v>0.46</v>
      </c>
      <c r="J136" s="23">
        <v>0.4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6"/>
      <c r="AI136" s="37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</row>
    <row r="137" ht="15.75" customHeight="1">
      <c r="B137" s="38"/>
      <c r="C137" s="76"/>
      <c r="D137" s="43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6"/>
      <c r="AI137" s="37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</row>
    <row r="138" ht="15.75" customHeight="1">
      <c r="B138" s="34" t="s">
        <v>182</v>
      </c>
      <c r="C138" s="29"/>
      <c r="D138" s="43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6"/>
      <c r="AI138" s="37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</row>
    <row r="139" ht="15.75" customHeight="1">
      <c r="B139" s="20" t="s">
        <v>139</v>
      </c>
      <c r="C139" s="29" t="s">
        <v>183</v>
      </c>
      <c r="D139" s="22">
        <f>SUM(E139:Z139)</f>
        <v>1.338</v>
      </c>
      <c r="E139" s="23">
        <v>1.338</v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6"/>
      <c r="AI139" s="37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</row>
    <row r="140" ht="15.75" customHeight="1">
      <c r="B140" s="20"/>
      <c r="C140" s="31"/>
      <c r="D140" s="43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6"/>
      <c r="AI140" s="37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</row>
    <row r="141" ht="15.75" customHeight="1">
      <c r="B141" s="34" t="s">
        <v>184</v>
      </c>
      <c r="C141" s="31"/>
      <c r="D141" s="43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6"/>
      <c r="AI141" s="37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</row>
    <row r="142" ht="15.75" customHeight="1">
      <c r="B142" s="20" t="s">
        <v>27</v>
      </c>
      <c r="C142" s="29" t="s">
        <v>185</v>
      </c>
      <c r="D142" s="22">
        <f t="shared" ref="D142:D147" si="15">SUM(E142:Z142)</f>
        <v>3.575</v>
      </c>
      <c r="E142" s="28">
        <v>3.575</v>
      </c>
      <c r="F142" s="23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6"/>
      <c r="AI142" s="37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</row>
    <row r="143" ht="15.75" customHeight="1">
      <c r="B143" s="20" t="s">
        <v>186</v>
      </c>
      <c r="C143" s="29" t="s">
        <v>187</v>
      </c>
      <c r="D143" s="22">
        <f t="shared" si="15"/>
        <v>6.304</v>
      </c>
      <c r="E143" s="23">
        <v>4.015</v>
      </c>
      <c r="F143" s="23">
        <v>2.289</v>
      </c>
      <c r="G143" s="23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6"/>
      <c r="AI143" s="37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</row>
    <row r="144" ht="15.75" customHeight="1">
      <c r="B144" s="20" t="s">
        <v>188</v>
      </c>
      <c r="C144" s="29" t="s">
        <v>189</v>
      </c>
      <c r="D144" s="22">
        <f t="shared" si="15"/>
        <v>2.593</v>
      </c>
      <c r="E144" s="28">
        <v>2.593</v>
      </c>
      <c r="F144" s="23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6"/>
      <c r="AI144" s="37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</row>
    <row r="145" ht="15.75" customHeight="1">
      <c r="B145" s="20" t="s">
        <v>190</v>
      </c>
      <c r="C145" s="29" t="s">
        <v>191</v>
      </c>
      <c r="D145" s="22">
        <f t="shared" si="15"/>
        <v>3.979</v>
      </c>
      <c r="E145" s="23">
        <v>3.979</v>
      </c>
      <c r="F145" s="23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6"/>
      <c r="AI145" s="37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</row>
    <row r="146" ht="15.75" customHeight="1">
      <c r="B146" s="20" t="s">
        <v>192</v>
      </c>
      <c r="C146" s="29" t="s">
        <v>193</v>
      </c>
      <c r="D146" s="22">
        <f t="shared" si="15"/>
        <v>5.504</v>
      </c>
      <c r="E146" s="23">
        <v>5.504</v>
      </c>
      <c r="F146" s="23"/>
      <c r="G146" s="23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6"/>
      <c r="AI146" s="37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</row>
    <row r="147" ht="15.75" customHeight="1">
      <c r="B147" s="20" t="s">
        <v>194</v>
      </c>
      <c r="C147" s="41" t="s">
        <v>195</v>
      </c>
      <c r="D147" s="22">
        <f t="shared" si="15"/>
        <v>5.23</v>
      </c>
      <c r="E147" s="28">
        <v>4.12</v>
      </c>
      <c r="F147" s="23">
        <v>1.11</v>
      </c>
      <c r="G147" s="23"/>
      <c r="H147" s="23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6"/>
      <c r="AI147" s="37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</row>
    <row r="148" ht="15.75" customHeight="1">
      <c r="B148" s="35" t="s">
        <v>36</v>
      </c>
      <c r="C148" s="41" t="s">
        <v>196</v>
      </c>
      <c r="D148" s="91">
        <v>1.12</v>
      </c>
      <c r="E148" s="28">
        <v>6.0</v>
      </c>
      <c r="F148" s="28">
        <v>1.12</v>
      </c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6"/>
      <c r="AI148" s="37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</row>
    <row r="149" ht="15.75" customHeight="1">
      <c r="B149" s="20" t="s">
        <v>197</v>
      </c>
      <c r="C149" s="29" t="s">
        <v>198</v>
      </c>
      <c r="D149" s="22">
        <f t="shared" ref="D149:D151" si="16">SUM(E149:Z149)</f>
        <v>2.952</v>
      </c>
      <c r="E149" s="23">
        <v>2.952</v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6"/>
      <c r="AI149" s="37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</row>
    <row r="150" ht="15.75" customHeight="1">
      <c r="B150" s="20" t="s">
        <v>199</v>
      </c>
      <c r="C150" s="92"/>
      <c r="D150" s="22">
        <f t="shared" si="16"/>
        <v>1.427</v>
      </c>
      <c r="E150" s="23">
        <v>1.427</v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6"/>
      <c r="AI150" s="37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</row>
    <row r="151" ht="15.75" customHeight="1">
      <c r="B151" s="20" t="s">
        <v>200</v>
      </c>
      <c r="C151" s="61"/>
      <c r="D151" s="22">
        <f t="shared" si="16"/>
        <v>0.64</v>
      </c>
      <c r="E151" s="23">
        <v>0.64</v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6"/>
      <c r="AI151" s="37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</row>
    <row r="152" ht="15.75" customHeight="1">
      <c r="B152" s="20"/>
      <c r="C152" s="45"/>
      <c r="D152" s="43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6"/>
      <c r="AI152" s="37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</row>
    <row r="153" ht="15.75" customHeight="1">
      <c r="B153" s="34" t="s">
        <v>201</v>
      </c>
      <c r="C153" s="21"/>
      <c r="D153" s="43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6"/>
      <c r="AI153" s="37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</row>
    <row r="154" ht="15.75" customHeight="1">
      <c r="B154" s="20" t="s">
        <v>202</v>
      </c>
      <c r="C154" s="29" t="s">
        <v>203</v>
      </c>
      <c r="D154" s="22">
        <f t="shared" ref="D154:D155" si="17">SUM(E154:Z154)</f>
        <v>1.212</v>
      </c>
      <c r="E154" s="23">
        <v>1.212</v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6"/>
      <c r="AI154" s="37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</row>
    <row r="155" ht="15.75" customHeight="1">
      <c r="B155" s="20" t="s">
        <v>204</v>
      </c>
      <c r="C155" s="29" t="s">
        <v>205</v>
      </c>
      <c r="D155" s="22">
        <f t="shared" si="17"/>
        <v>1.068</v>
      </c>
      <c r="E155" s="23">
        <v>1.068</v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6"/>
      <c r="AI155" s="37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</row>
    <row r="156" ht="15.75" customHeight="1">
      <c r="B156" s="20"/>
      <c r="C156" s="42"/>
      <c r="D156" s="43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6"/>
      <c r="AI156" s="37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</row>
    <row r="157" ht="15.75" customHeight="1">
      <c r="B157" s="20"/>
      <c r="C157" s="42"/>
      <c r="D157" s="43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6"/>
      <c r="AI157" s="37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</row>
    <row r="158" ht="15.75" customHeight="1">
      <c r="B158" s="20"/>
      <c r="C158" s="42"/>
      <c r="D158" s="43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6"/>
      <c r="AI158" s="37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</row>
    <row r="159" ht="15.75" customHeight="1">
      <c r="B159" s="34" t="s">
        <v>206</v>
      </c>
      <c r="C159" s="45"/>
      <c r="D159" s="43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6"/>
      <c r="AI159" s="37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</row>
    <row r="160" ht="15.75" customHeight="1">
      <c r="B160" s="20" t="s">
        <v>207</v>
      </c>
      <c r="C160" s="45"/>
      <c r="D160" s="22">
        <f t="shared" ref="D160:D163" si="18">SUM(E160:Z160)</f>
        <v>5.45</v>
      </c>
      <c r="E160" s="23">
        <v>5.45</v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6"/>
      <c r="AI160" s="37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</row>
    <row r="161" ht="15.75" customHeight="1">
      <c r="B161" s="20" t="s">
        <v>208</v>
      </c>
      <c r="C161" s="45"/>
      <c r="D161" s="22">
        <f t="shared" si="18"/>
        <v>3.79</v>
      </c>
      <c r="E161" s="23">
        <v>2.66</v>
      </c>
      <c r="F161" s="23">
        <v>1.13</v>
      </c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6"/>
      <c r="AI161" s="37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</row>
    <row r="162" ht="15.75" customHeight="1">
      <c r="B162" s="20" t="s">
        <v>209</v>
      </c>
      <c r="C162" s="29"/>
      <c r="D162" s="22">
        <f t="shared" si="18"/>
        <v>0.67</v>
      </c>
      <c r="E162" s="23">
        <v>0.67</v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6"/>
      <c r="AI162" s="37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</row>
    <row r="163" ht="15.75" customHeight="1">
      <c r="B163" s="20" t="s">
        <v>210</v>
      </c>
      <c r="C163" s="29" t="s">
        <v>211</v>
      </c>
      <c r="D163" s="22">
        <f t="shared" si="18"/>
        <v>2.475</v>
      </c>
      <c r="E163" s="23">
        <v>1.665</v>
      </c>
      <c r="F163" s="23">
        <v>0.81</v>
      </c>
      <c r="G163" s="23"/>
      <c r="H163" s="23"/>
      <c r="I163" s="23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6"/>
      <c r="AI163" s="37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</row>
    <row r="164" ht="15.75" customHeight="1">
      <c r="B164" s="20" t="s">
        <v>105</v>
      </c>
      <c r="C164" s="29"/>
      <c r="D164" s="22"/>
      <c r="E164" s="23"/>
      <c r="F164" s="23"/>
      <c r="G164" s="23"/>
      <c r="H164" s="25"/>
      <c r="I164" s="25"/>
      <c r="J164" s="25"/>
      <c r="K164" s="25"/>
      <c r="L164" s="23"/>
      <c r="M164" s="25"/>
      <c r="N164" s="25"/>
      <c r="O164" s="25"/>
      <c r="P164" s="25"/>
      <c r="Q164" s="25"/>
      <c r="R164" s="25"/>
      <c r="S164" s="25"/>
      <c r="T164" s="25"/>
      <c r="U164" s="25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6"/>
      <c r="AI164" s="37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</row>
    <row r="165" ht="15.75" customHeight="1">
      <c r="B165" s="20" t="s">
        <v>212</v>
      </c>
      <c r="C165" s="29" t="s">
        <v>213</v>
      </c>
      <c r="D165" s="22">
        <f t="shared" ref="D165:D203" si="19">SUM(E165:Z165)</f>
        <v>2.898</v>
      </c>
      <c r="E165" s="23">
        <v>2.129</v>
      </c>
      <c r="F165" s="23">
        <v>0.591</v>
      </c>
      <c r="G165" s="23">
        <v>0.178</v>
      </c>
      <c r="H165" s="25"/>
      <c r="I165" s="25"/>
      <c r="J165" s="25"/>
      <c r="K165" s="25"/>
      <c r="L165" s="23"/>
      <c r="M165" s="25"/>
      <c r="N165" s="25"/>
      <c r="O165" s="25"/>
      <c r="P165" s="25"/>
      <c r="Q165" s="25"/>
      <c r="R165" s="25"/>
      <c r="S165" s="25"/>
      <c r="T165" s="25"/>
      <c r="U165" s="25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6"/>
      <c r="AI165" s="37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</row>
    <row r="166" ht="15.75" customHeight="1">
      <c r="B166" s="20" t="s">
        <v>214</v>
      </c>
      <c r="C166" s="29" t="s">
        <v>215</v>
      </c>
      <c r="D166" s="22">
        <f t="shared" si="19"/>
        <v>6.555</v>
      </c>
      <c r="E166" s="23">
        <v>6.0</v>
      </c>
      <c r="F166" s="23">
        <v>0.555</v>
      </c>
      <c r="G166" s="23"/>
      <c r="H166" s="23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6"/>
      <c r="AI166" s="37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</row>
    <row r="167" ht="15.75" customHeight="1">
      <c r="B167" s="20" t="s">
        <v>109</v>
      </c>
      <c r="C167" s="29" t="s">
        <v>213</v>
      </c>
      <c r="D167" s="22">
        <f t="shared" si="19"/>
        <v>2.21</v>
      </c>
      <c r="E167" s="28">
        <v>2.21</v>
      </c>
      <c r="F167" s="23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6"/>
      <c r="AI167" s="37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</row>
    <row r="168" ht="15.75" customHeight="1">
      <c r="B168" s="20" t="s">
        <v>216</v>
      </c>
      <c r="C168" s="29" t="s">
        <v>215</v>
      </c>
      <c r="D168" s="22">
        <f t="shared" si="19"/>
        <v>1.392</v>
      </c>
      <c r="E168" s="23">
        <v>1.392</v>
      </c>
      <c r="F168" s="23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6"/>
      <c r="AI168" s="37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</row>
    <row r="169" ht="15.75" customHeight="1">
      <c r="B169" s="20" t="s">
        <v>217</v>
      </c>
      <c r="C169" s="42"/>
      <c r="D169" s="22">
        <f t="shared" si="19"/>
        <v>2.83</v>
      </c>
      <c r="E169" s="23">
        <v>2.019</v>
      </c>
      <c r="F169" s="23">
        <v>0.811</v>
      </c>
      <c r="G169" s="23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6"/>
      <c r="AI169" s="37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</row>
    <row r="170" ht="15.75" customHeight="1">
      <c r="B170" s="20" t="s">
        <v>218</v>
      </c>
      <c r="C170" s="29"/>
      <c r="D170" s="22">
        <f t="shared" si="19"/>
        <v>4.88</v>
      </c>
      <c r="E170" s="23">
        <v>1.132</v>
      </c>
      <c r="F170" s="25">
        <v>3.748</v>
      </c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6"/>
      <c r="AI170" s="37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</row>
    <row r="171" ht="15.75" customHeight="1">
      <c r="B171" s="20" t="s">
        <v>219</v>
      </c>
      <c r="C171" s="29" t="s">
        <v>220</v>
      </c>
      <c r="D171" s="22">
        <f t="shared" si="19"/>
        <v>1.523</v>
      </c>
      <c r="E171" s="25">
        <v>1.523</v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6"/>
      <c r="AI171" s="37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</row>
    <row r="172" ht="15.75" customHeight="1">
      <c r="B172" s="20" t="s">
        <v>221</v>
      </c>
      <c r="C172" s="29" t="s">
        <v>222</v>
      </c>
      <c r="D172" s="22">
        <f t="shared" si="19"/>
        <v>1.034</v>
      </c>
      <c r="E172" s="23">
        <v>1.034</v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6"/>
      <c r="AI172" s="37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</row>
    <row r="173" ht="15.75" customHeight="1">
      <c r="B173" s="20" t="s">
        <v>223</v>
      </c>
      <c r="C173" s="29"/>
      <c r="D173" s="22">
        <f t="shared" si="19"/>
        <v>0</v>
      </c>
      <c r="E173" s="23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6"/>
      <c r="AI173" s="37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</row>
    <row r="174" ht="15.75" customHeight="1">
      <c r="B174" s="20" t="s">
        <v>224</v>
      </c>
      <c r="C174" s="21" t="s">
        <v>220</v>
      </c>
      <c r="D174" s="22">
        <f t="shared" si="19"/>
        <v>3.81</v>
      </c>
      <c r="E174" s="23">
        <v>2.995</v>
      </c>
      <c r="F174" s="23">
        <v>0.815</v>
      </c>
      <c r="G174" s="23"/>
      <c r="H174" s="23"/>
      <c r="I174" s="23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6"/>
      <c r="AI174" s="37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</row>
    <row r="175" ht="15.75" customHeight="1">
      <c r="B175" s="20" t="s">
        <v>225</v>
      </c>
      <c r="C175" s="29"/>
      <c r="D175" s="22">
        <f t="shared" si="19"/>
        <v>6</v>
      </c>
      <c r="E175" s="23">
        <v>6.0</v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6"/>
      <c r="AI175" s="37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</row>
    <row r="176" ht="15.75" customHeight="1">
      <c r="B176" s="20" t="s">
        <v>226</v>
      </c>
      <c r="C176" s="29" t="s">
        <v>227</v>
      </c>
      <c r="D176" s="22">
        <f t="shared" si="19"/>
        <v>4.495</v>
      </c>
      <c r="E176" s="23">
        <v>2.73</v>
      </c>
      <c r="F176" s="23">
        <v>1.115</v>
      </c>
      <c r="G176" s="25">
        <v>0.65</v>
      </c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6"/>
      <c r="AI176" s="37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</row>
    <row r="177" ht="15.75" customHeight="1">
      <c r="B177" s="20" t="s">
        <v>228</v>
      </c>
      <c r="C177" s="29" t="s">
        <v>17</v>
      </c>
      <c r="D177" s="22">
        <f t="shared" si="19"/>
        <v>5.201</v>
      </c>
      <c r="E177" s="23">
        <v>4.847</v>
      </c>
      <c r="F177" s="23">
        <v>0.354</v>
      </c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6"/>
      <c r="AI177" s="37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</row>
    <row r="178" ht="15.75" customHeight="1">
      <c r="B178" s="20" t="s">
        <v>229</v>
      </c>
      <c r="C178" s="42"/>
      <c r="D178" s="22">
        <f t="shared" si="19"/>
        <v>4.992</v>
      </c>
      <c r="E178" s="23">
        <v>4.992</v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6"/>
      <c r="AI178" s="37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</row>
    <row r="179" ht="15.75" customHeight="1">
      <c r="B179" s="20" t="s">
        <v>230</v>
      </c>
      <c r="C179" s="42"/>
      <c r="D179" s="22">
        <f t="shared" si="19"/>
        <v>11.975</v>
      </c>
      <c r="E179" s="23">
        <v>6.0</v>
      </c>
      <c r="F179" s="23">
        <v>4.39</v>
      </c>
      <c r="G179" s="23">
        <v>0.755</v>
      </c>
      <c r="H179" s="23">
        <v>0.83</v>
      </c>
      <c r="I179" s="23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6"/>
      <c r="AI179" s="37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</row>
    <row r="180" ht="15.75" customHeight="1">
      <c r="B180" s="20" t="s">
        <v>231</v>
      </c>
      <c r="C180" s="42"/>
      <c r="D180" s="22">
        <f t="shared" si="19"/>
        <v>12.342</v>
      </c>
      <c r="E180" s="28">
        <v>3.49</v>
      </c>
      <c r="F180" s="23">
        <v>4.05</v>
      </c>
      <c r="G180" s="23">
        <v>2.386</v>
      </c>
      <c r="H180" s="23">
        <v>0.45</v>
      </c>
      <c r="I180" s="23">
        <v>0.45</v>
      </c>
      <c r="J180" s="23">
        <v>0.45</v>
      </c>
      <c r="K180" s="23">
        <v>0.45</v>
      </c>
      <c r="L180" s="23">
        <v>0.37</v>
      </c>
      <c r="M180" s="23">
        <v>0.246</v>
      </c>
      <c r="N180" s="5"/>
      <c r="O180" s="23"/>
      <c r="P180" s="5"/>
      <c r="Q180" s="44"/>
      <c r="R180" s="25"/>
      <c r="S180" s="25"/>
      <c r="T180" s="25"/>
      <c r="U180" s="25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6"/>
      <c r="AI180" s="37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</row>
    <row r="181" ht="15.75" customHeight="1">
      <c r="B181" s="20" t="s">
        <v>232</v>
      </c>
      <c r="C181" s="29" t="s">
        <v>233</v>
      </c>
      <c r="D181" s="22">
        <f t="shared" si="19"/>
        <v>0.785</v>
      </c>
      <c r="E181" s="23">
        <v>0.785</v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6"/>
      <c r="AI181" s="37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</row>
    <row r="182" ht="15.75" customHeight="1">
      <c r="B182" s="20" t="s">
        <v>234</v>
      </c>
      <c r="C182" s="29"/>
      <c r="D182" s="22">
        <f t="shared" si="19"/>
        <v>4.6</v>
      </c>
      <c r="E182" s="23">
        <v>4.6</v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6"/>
      <c r="AI182" s="37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</row>
    <row r="183" ht="15.75" customHeight="1">
      <c r="B183" s="20" t="s">
        <v>235</v>
      </c>
      <c r="C183" s="29"/>
      <c r="D183" s="22">
        <f t="shared" si="19"/>
        <v>5.39</v>
      </c>
      <c r="E183" s="23">
        <v>5.39</v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6"/>
      <c r="AI183" s="37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</row>
    <row r="184" ht="15.75" customHeight="1">
      <c r="B184" s="20" t="s">
        <v>236</v>
      </c>
      <c r="C184" s="29"/>
      <c r="D184" s="22">
        <f t="shared" si="19"/>
        <v>1.675</v>
      </c>
      <c r="E184" s="23">
        <v>1.675</v>
      </c>
      <c r="F184" s="23"/>
      <c r="G184" s="23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6"/>
      <c r="AI184" s="37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</row>
    <row r="185" ht="15.75" customHeight="1">
      <c r="B185" s="20" t="s">
        <v>237</v>
      </c>
      <c r="C185" s="29"/>
      <c r="D185" s="22">
        <f t="shared" si="19"/>
        <v>18.099</v>
      </c>
      <c r="E185" s="23">
        <v>5.898</v>
      </c>
      <c r="F185" s="23">
        <v>4.08</v>
      </c>
      <c r="G185" s="23">
        <v>3.054</v>
      </c>
      <c r="H185" s="23">
        <v>2.007</v>
      </c>
      <c r="I185" s="23">
        <v>1.8</v>
      </c>
      <c r="J185" s="23">
        <v>1.26</v>
      </c>
      <c r="K185" s="23"/>
      <c r="L185" s="23"/>
      <c r="M185" s="23"/>
      <c r="N185" s="25"/>
      <c r="O185" s="25"/>
      <c r="P185" s="25"/>
      <c r="Q185" s="25"/>
      <c r="R185" s="25"/>
      <c r="S185" s="25"/>
      <c r="T185" s="25"/>
      <c r="U185" s="25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6"/>
      <c r="AI185" s="37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</row>
    <row r="186" ht="15.75" customHeight="1">
      <c r="B186" s="20" t="s">
        <v>238</v>
      </c>
      <c r="C186" s="29" t="s">
        <v>239</v>
      </c>
      <c r="D186" s="22">
        <f t="shared" si="19"/>
        <v>0.783</v>
      </c>
      <c r="E186" s="23">
        <v>0.783</v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6"/>
      <c r="AI186" s="37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</row>
    <row r="187" ht="15.75" customHeight="1">
      <c r="B187" s="20" t="s">
        <v>240</v>
      </c>
      <c r="C187" s="29"/>
      <c r="D187" s="22">
        <f t="shared" si="19"/>
        <v>2.502</v>
      </c>
      <c r="E187" s="23">
        <v>2.015</v>
      </c>
      <c r="F187" s="23">
        <v>0.487</v>
      </c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6"/>
      <c r="AI187" s="37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</row>
    <row r="188" ht="15.75" customHeight="1">
      <c r="B188" s="20" t="s">
        <v>241</v>
      </c>
      <c r="C188" s="29"/>
      <c r="D188" s="22">
        <f t="shared" si="19"/>
        <v>1.138</v>
      </c>
      <c r="E188" s="23">
        <v>0.13</v>
      </c>
      <c r="F188" s="25">
        <v>1.008</v>
      </c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6"/>
      <c r="AI188" s="37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</row>
    <row r="189" ht="15.75" customHeight="1">
      <c r="B189" s="20" t="s">
        <v>242</v>
      </c>
      <c r="C189" s="29" t="s">
        <v>243</v>
      </c>
      <c r="D189" s="22">
        <f t="shared" si="19"/>
        <v>9.794</v>
      </c>
      <c r="E189" s="23">
        <v>2.821</v>
      </c>
      <c r="F189" s="25">
        <v>4.903</v>
      </c>
      <c r="G189" s="25">
        <v>2.07</v>
      </c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6"/>
      <c r="AI189" s="37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</row>
    <row r="190" ht="15.75" customHeight="1">
      <c r="B190" s="20" t="s">
        <v>244</v>
      </c>
      <c r="C190" s="42"/>
      <c r="D190" s="22">
        <f t="shared" si="19"/>
        <v>0.425</v>
      </c>
      <c r="E190" s="23">
        <v>0.425</v>
      </c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6"/>
      <c r="AI190" s="37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</row>
    <row r="191" ht="15.75" customHeight="1">
      <c r="B191" s="20" t="s">
        <v>245</v>
      </c>
      <c r="C191" s="42"/>
      <c r="D191" s="22">
        <f t="shared" si="19"/>
        <v>0.573</v>
      </c>
      <c r="E191" s="23">
        <v>0.393</v>
      </c>
      <c r="F191" s="23">
        <v>0.18</v>
      </c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6"/>
      <c r="AI191" s="37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</row>
    <row r="192" ht="15.75" customHeight="1">
      <c r="B192" s="20" t="s">
        <v>246</v>
      </c>
      <c r="C192" s="29"/>
      <c r="D192" s="22">
        <f t="shared" si="19"/>
        <v>4.329</v>
      </c>
      <c r="E192" s="23">
        <v>4.329</v>
      </c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6"/>
      <c r="AI192" s="37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</row>
    <row r="193" ht="15.75" customHeight="1">
      <c r="B193" s="20" t="s">
        <v>247</v>
      </c>
      <c r="C193" s="41" t="s">
        <v>248</v>
      </c>
      <c r="D193" s="22">
        <f t="shared" si="19"/>
        <v>2.733</v>
      </c>
      <c r="E193" s="23">
        <v>1.075</v>
      </c>
      <c r="F193" s="23">
        <v>0.808</v>
      </c>
      <c r="G193" s="25">
        <v>0.85</v>
      </c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6"/>
      <c r="AI193" s="37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</row>
    <row r="194" ht="15.75" customHeight="1">
      <c r="B194" s="20" t="s">
        <v>249</v>
      </c>
      <c r="C194" s="93" t="s">
        <v>250</v>
      </c>
      <c r="D194" s="22">
        <f t="shared" si="19"/>
        <v>1.555</v>
      </c>
      <c r="E194" s="23">
        <v>1.044</v>
      </c>
      <c r="F194" s="23">
        <v>0.335</v>
      </c>
      <c r="G194" s="23">
        <v>0.176</v>
      </c>
      <c r="H194" s="23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6"/>
      <c r="AI194" s="37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</row>
    <row r="195" ht="15.75" customHeight="1">
      <c r="B195" s="20" t="s">
        <v>251</v>
      </c>
      <c r="C195" s="94" t="s">
        <v>252</v>
      </c>
      <c r="D195" s="22">
        <f t="shared" si="19"/>
        <v>0.441</v>
      </c>
      <c r="E195" s="23">
        <v>0.269</v>
      </c>
      <c r="F195" s="23">
        <v>0.172</v>
      </c>
      <c r="G195" s="23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6"/>
      <c r="AI195" s="37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</row>
    <row r="196" ht="15.75" customHeight="1">
      <c r="B196" s="20" t="s">
        <v>133</v>
      </c>
      <c r="C196" s="95" t="s">
        <v>253</v>
      </c>
      <c r="D196" s="22">
        <f t="shared" si="19"/>
        <v>3.218</v>
      </c>
      <c r="E196" s="23">
        <v>3.218</v>
      </c>
      <c r="F196" s="23"/>
      <c r="G196" s="23"/>
      <c r="H196" s="25"/>
      <c r="I196" s="23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6"/>
      <c r="AI196" s="37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</row>
    <row r="197" ht="15.75" customHeight="1">
      <c r="B197" s="20" t="s">
        <v>134</v>
      </c>
      <c r="C197" s="94"/>
      <c r="D197" s="22">
        <f t="shared" si="19"/>
        <v>0.605</v>
      </c>
      <c r="E197" s="23">
        <v>0.605</v>
      </c>
      <c r="F197" s="23"/>
      <c r="G197" s="23"/>
      <c r="H197" s="31"/>
      <c r="I197" s="31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6"/>
      <c r="AI197" s="37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</row>
    <row r="198" ht="15.75" customHeight="1">
      <c r="B198" s="20" t="s">
        <v>254</v>
      </c>
      <c r="C198" s="96" t="s">
        <v>255</v>
      </c>
      <c r="D198" s="22">
        <f t="shared" si="19"/>
        <v>1.045</v>
      </c>
      <c r="E198" s="23">
        <v>0.798</v>
      </c>
      <c r="F198" s="23">
        <v>0.15</v>
      </c>
      <c r="G198" s="23">
        <v>0.097</v>
      </c>
      <c r="H198" s="31"/>
      <c r="I198" s="31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6"/>
      <c r="AI198" s="37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</row>
    <row r="199" ht="15.75" customHeight="1">
      <c r="B199" s="20" t="s">
        <v>256</v>
      </c>
      <c r="C199" s="42"/>
      <c r="D199" s="22">
        <f t="shared" si="19"/>
        <v>1.628</v>
      </c>
      <c r="E199" s="23">
        <v>0.808</v>
      </c>
      <c r="F199" s="23">
        <v>0.82</v>
      </c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6"/>
      <c r="AI199" s="37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</row>
    <row r="200" ht="15.75" customHeight="1">
      <c r="B200" s="20" t="s">
        <v>257</v>
      </c>
      <c r="C200" s="42"/>
      <c r="D200" s="22">
        <f t="shared" si="19"/>
        <v>1.444</v>
      </c>
      <c r="E200" s="23">
        <v>1.444</v>
      </c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6"/>
      <c r="AI200" s="37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</row>
    <row r="201" ht="15.75" customHeight="1">
      <c r="B201" s="20" t="s">
        <v>258</v>
      </c>
      <c r="C201" s="42"/>
      <c r="D201" s="22">
        <f t="shared" si="19"/>
        <v>1.85</v>
      </c>
      <c r="E201" s="23">
        <v>1.062</v>
      </c>
      <c r="F201" s="23">
        <v>0.788</v>
      </c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6"/>
      <c r="AI201" s="37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</row>
    <row r="202" ht="15.75" customHeight="1">
      <c r="B202" s="20" t="s">
        <v>259</v>
      </c>
      <c r="C202" s="42"/>
      <c r="D202" s="22">
        <f t="shared" si="19"/>
        <v>0</v>
      </c>
      <c r="E202" s="23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6"/>
      <c r="AI202" s="37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</row>
    <row r="203" ht="15.75" customHeight="1">
      <c r="B203" s="20" t="s">
        <v>260</v>
      </c>
      <c r="C203" s="42"/>
      <c r="D203" s="22">
        <f t="shared" si="19"/>
        <v>0.626</v>
      </c>
      <c r="E203" s="23">
        <v>0.626</v>
      </c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6"/>
      <c r="AI203" s="37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</row>
    <row r="204" ht="15.75" customHeight="1">
      <c r="B204" s="20"/>
      <c r="C204" s="42"/>
      <c r="D204" s="43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6"/>
      <c r="AI204" s="37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</row>
    <row r="205" ht="15.75" customHeight="1">
      <c r="B205" s="34" t="s">
        <v>261</v>
      </c>
      <c r="C205" s="97"/>
      <c r="D205" s="43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6"/>
      <c r="AI205" s="37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</row>
    <row r="206" ht="15.75" customHeight="1">
      <c r="B206" s="98" t="s">
        <v>262</v>
      </c>
      <c r="C206" s="29" t="s">
        <v>263</v>
      </c>
      <c r="D206" s="22">
        <f t="shared" ref="D206:D209" si="20">SUM(E206:Z206)</f>
        <v>3.15</v>
      </c>
      <c r="E206" s="23">
        <v>3.15</v>
      </c>
      <c r="F206" s="23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6"/>
      <c r="AI206" s="37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</row>
    <row r="207" ht="15.75" customHeight="1">
      <c r="B207" s="98" t="s">
        <v>264</v>
      </c>
      <c r="C207" s="29" t="s">
        <v>265</v>
      </c>
      <c r="D207" s="22">
        <f t="shared" si="20"/>
        <v>18.129</v>
      </c>
      <c r="E207" s="25">
        <v>6.0</v>
      </c>
      <c r="F207" s="25">
        <v>6.0</v>
      </c>
      <c r="G207" s="25">
        <v>6.0</v>
      </c>
      <c r="H207" s="25">
        <v>0.129</v>
      </c>
      <c r="I207" s="25"/>
      <c r="J207" s="23"/>
      <c r="K207" s="23"/>
      <c r="L207" s="23"/>
      <c r="M207" s="25"/>
      <c r="N207" s="25"/>
      <c r="O207" s="25"/>
      <c r="P207" s="25"/>
      <c r="Q207" s="25"/>
      <c r="R207" s="25"/>
      <c r="S207" s="25"/>
      <c r="T207" s="25"/>
      <c r="U207" s="25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6"/>
      <c r="AI207" s="37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</row>
    <row r="208" ht="15.75" customHeight="1">
      <c r="B208" s="98" t="s">
        <v>65</v>
      </c>
      <c r="C208" s="29" t="s">
        <v>34</v>
      </c>
      <c r="D208" s="22">
        <f t="shared" si="20"/>
        <v>5.73</v>
      </c>
      <c r="E208" s="28">
        <v>5.17</v>
      </c>
      <c r="F208" s="23">
        <v>0.56</v>
      </c>
      <c r="G208" s="23"/>
      <c r="H208" s="23"/>
      <c r="I208" s="23"/>
      <c r="J208" s="23"/>
      <c r="K208" s="23"/>
      <c r="L208" s="23"/>
      <c r="M208" s="25"/>
      <c r="N208" s="25"/>
      <c r="O208" s="25"/>
      <c r="P208" s="25"/>
      <c r="Q208" s="25"/>
      <c r="R208" s="25"/>
      <c r="S208" s="25"/>
      <c r="T208" s="25"/>
      <c r="U208" s="25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6"/>
      <c r="AI208" s="37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</row>
    <row r="209" ht="15.75" customHeight="1">
      <c r="B209" s="20" t="s">
        <v>67</v>
      </c>
      <c r="C209" s="41">
        <v>32.32</v>
      </c>
      <c r="D209" s="22">
        <f t="shared" si="20"/>
        <v>9.387</v>
      </c>
      <c r="E209" s="28">
        <v>4.081</v>
      </c>
      <c r="F209" s="23">
        <v>3.075</v>
      </c>
      <c r="G209" s="23">
        <v>1.031</v>
      </c>
      <c r="H209" s="28">
        <v>0.618</v>
      </c>
      <c r="I209" s="28">
        <v>0.582</v>
      </c>
      <c r="J209" s="23"/>
      <c r="K209" s="23"/>
      <c r="L209" s="23"/>
      <c r="M209" s="23"/>
      <c r="N209" s="25"/>
      <c r="O209" s="25"/>
      <c r="P209" s="25"/>
      <c r="Q209" s="25"/>
      <c r="R209" s="25"/>
      <c r="S209" s="25"/>
      <c r="T209" s="25"/>
      <c r="U209" s="25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6"/>
      <c r="AI209" s="37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</row>
    <row r="210" ht="15.75" customHeight="1">
      <c r="B210" s="20" t="s">
        <v>69</v>
      </c>
      <c r="C210" s="41">
        <v>50.48</v>
      </c>
      <c r="D210" s="22"/>
      <c r="E210" s="23"/>
      <c r="F210" s="23"/>
      <c r="G210" s="23"/>
      <c r="H210" s="23"/>
      <c r="I210" s="23"/>
      <c r="J210" s="23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6"/>
      <c r="AI210" s="37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</row>
    <row r="211" ht="15.75" customHeight="1">
      <c r="B211" s="20" t="s">
        <v>266</v>
      </c>
      <c r="C211" s="41">
        <v>72.72</v>
      </c>
      <c r="D211" s="22">
        <f t="shared" ref="D211:D220" si="21">SUM(E211:Z211)</f>
        <v>3.215</v>
      </c>
      <c r="E211" s="28">
        <v>3.215</v>
      </c>
      <c r="F211" s="23"/>
      <c r="G211" s="23"/>
      <c r="H211" s="23"/>
      <c r="I211" s="23"/>
      <c r="J211" s="23"/>
      <c r="K211" s="23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6"/>
      <c r="AI211" s="37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</row>
    <row r="212" ht="15.75" customHeight="1">
      <c r="B212" s="20" t="s">
        <v>73</v>
      </c>
      <c r="C212" s="29" t="s">
        <v>267</v>
      </c>
      <c r="D212" s="22">
        <f t="shared" si="21"/>
        <v>9.31</v>
      </c>
      <c r="E212" s="28">
        <v>6.0</v>
      </c>
      <c r="F212" s="23">
        <v>2.3</v>
      </c>
      <c r="G212" s="23">
        <v>1.01</v>
      </c>
      <c r="H212" s="23"/>
      <c r="I212" s="23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6"/>
      <c r="AI212" s="37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</row>
    <row r="213" ht="15.75" customHeight="1">
      <c r="B213" s="20" t="s">
        <v>75</v>
      </c>
      <c r="C213" s="29" t="s">
        <v>268</v>
      </c>
      <c r="D213" s="22">
        <f t="shared" si="21"/>
        <v>7.506</v>
      </c>
      <c r="E213" s="23">
        <v>6.056</v>
      </c>
      <c r="F213" s="28">
        <v>1.45</v>
      </c>
      <c r="G213" s="23"/>
      <c r="H213" s="25"/>
      <c r="I213" s="23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6"/>
      <c r="AI213" s="37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</row>
    <row r="214" ht="15.75" customHeight="1">
      <c r="B214" s="20" t="s">
        <v>77</v>
      </c>
      <c r="C214" s="29" t="s">
        <v>269</v>
      </c>
      <c r="D214" s="22">
        <f t="shared" si="21"/>
        <v>5.59</v>
      </c>
      <c r="E214" s="23">
        <v>5.015</v>
      </c>
      <c r="F214" s="23">
        <v>0.575</v>
      </c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5"/>
      <c r="R214" s="25"/>
      <c r="S214" s="25"/>
      <c r="T214" s="25"/>
      <c r="U214" s="25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6"/>
      <c r="AI214" s="37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</row>
    <row r="215" ht="15.75" customHeight="1">
      <c r="B215" s="20" t="s">
        <v>79</v>
      </c>
      <c r="C215" s="29" t="s">
        <v>270</v>
      </c>
      <c r="D215" s="22">
        <f t="shared" si="21"/>
        <v>8.463</v>
      </c>
      <c r="E215" s="28">
        <v>5.984</v>
      </c>
      <c r="F215" s="23">
        <v>0.34</v>
      </c>
      <c r="G215" s="23">
        <v>0.585</v>
      </c>
      <c r="H215" s="25">
        <v>0.565</v>
      </c>
      <c r="I215" s="25">
        <v>0.5</v>
      </c>
      <c r="J215" s="25">
        <v>0.355</v>
      </c>
      <c r="K215" s="23">
        <v>0.134</v>
      </c>
      <c r="L215" s="23"/>
      <c r="M215" s="25"/>
      <c r="N215" s="25"/>
      <c r="O215" s="25"/>
      <c r="P215" s="25"/>
      <c r="Q215" s="25"/>
      <c r="R215" s="25"/>
      <c r="S215" s="25"/>
      <c r="T215" s="25"/>
      <c r="U215" s="25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6"/>
      <c r="AI215" s="37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</row>
    <row r="216" ht="15.75" customHeight="1">
      <c r="B216" s="20" t="s">
        <v>271</v>
      </c>
      <c r="C216" s="29" t="s">
        <v>270</v>
      </c>
      <c r="D216" s="22">
        <f t="shared" si="21"/>
        <v>0</v>
      </c>
      <c r="E216" s="23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6"/>
      <c r="AI216" s="37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</row>
    <row r="217" ht="15.75" customHeight="1">
      <c r="B217" s="20" t="s">
        <v>83</v>
      </c>
      <c r="C217" s="41">
        <v>757.2</v>
      </c>
      <c r="D217" s="22">
        <f t="shared" si="21"/>
        <v>2.936</v>
      </c>
      <c r="E217" s="28">
        <v>2.208</v>
      </c>
      <c r="F217" s="23">
        <v>0.728</v>
      </c>
      <c r="G217" s="23"/>
      <c r="H217" s="23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6"/>
      <c r="AI217" s="37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</row>
    <row r="218" ht="15.75" customHeight="1">
      <c r="B218" s="20" t="s">
        <v>272</v>
      </c>
      <c r="C218" s="41">
        <v>1183.0</v>
      </c>
      <c r="D218" s="22">
        <f t="shared" si="21"/>
        <v>0.322</v>
      </c>
      <c r="E218" s="25">
        <v>0.322</v>
      </c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31"/>
      <c r="W218" s="31"/>
      <c r="X218" s="31"/>
      <c r="Y218" s="31"/>
      <c r="Z218" s="31"/>
      <c r="AA218" s="99"/>
      <c r="AB218" s="99"/>
      <c r="AC218" s="99"/>
      <c r="AD218" s="99"/>
      <c r="AE218" s="99"/>
      <c r="AF218" s="99"/>
      <c r="AG218" s="99"/>
      <c r="AH218" s="100"/>
      <c r="AI218" s="101"/>
      <c r="AJ218" s="99"/>
      <c r="AK218" s="99"/>
      <c r="AL218" s="99"/>
      <c r="AM218" s="99"/>
      <c r="AN218" s="99"/>
      <c r="AO218" s="99"/>
      <c r="AP218" s="99"/>
      <c r="AQ218" s="99"/>
      <c r="AR218" s="99"/>
      <c r="AS218" s="99"/>
      <c r="AT218" s="102"/>
      <c r="AU218" s="102"/>
      <c r="AV218" s="102"/>
      <c r="AW218" s="102"/>
      <c r="AX218" s="102"/>
      <c r="AY218" s="102"/>
      <c r="AZ218" s="102"/>
      <c r="BA218" s="102"/>
      <c r="BB218" s="102"/>
      <c r="BC218" s="102"/>
      <c r="BD218" s="102"/>
      <c r="BE218" s="102"/>
      <c r="BF218" s="102"/>
      <c r="BG218" s="102"/>
      <c r="BH218" s="102"/>
      <c r="BI218" s="102"/>
      <c r="BJ218" s="102"/>
      <c r="BK218" s="102"/>
      <c r="BL218" s="102"/>
      <c r="BM218" s="102"/>
      <c r="BN218" s="102"/>
      <c r="BO218" s="102"/>
      <c r="BP218" s="102"/>
      <c r="BQ218" s="102"/>
    </row>
    <row r="219" ht="15.75" customHeight="1">
      <c r="B219" s="20" t="s">
        <v>273</v>
      </c>
      <c r="C219" s="41"/>
      <c r="D219" s="22">
        <f t="shared" si="21"/>
        <v>1.295</v>
      </c>
      <c r="E219" s="25">
        <v>0.645</v>
      </c>
      <c r="F219" s="25">
        <v>0.65</v>
      </c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31"/>
      <c r="W219" s="31"/>
      <c r="X219" s="31"/>
      <c r="Y219" s="31"/>
      <c r="Z219" s="31"/>
      <c r="AA219" s="99"/>
      <c r="AB219" s="99"/>
      <c r="AC219" s="99"/>
      <c r="AD219" s="99"/>
      <c r="AE219" s="99"/>
      <c r="AF219" s="99"/>
      <c r="AG219" s="99"/>
      <c r="AH219" s="100"/>
      <c r="AI219" s="101"/>
      <c r="AJ219" s="99"/>
      <c r="AK219" s="99"/>
      <c r="AL219" s="99"/>
      <c r="AM219" s="99"/>
      <c r="AN219" s="99"/>
      <c r="AO219" s="99"/>
      <c r="AP219" s="99"/>
      <c r="AQ219" s="99"/>
      <c r="AR219" s="99"/>
      <c r="AS219" s="99"/>
      <c r="AT219" s="102"/>
      <c r="AU219" s="102"/>
      <c r="AV219" s="102"/>
      <c r="AW219" s="102"/>
      <c r="AX219" s="102"/>
      <c r="AY219" s="102"/>
      <c r="AZ219" s="102"/>
      <c r="BA219" s="102"/>
      <c r="BB219" s="102"/>
      <c r="BC219" s="102"/>
      <c r="BD219" s="102"/>
      <c r="BE219" s="102"/>
      <c r="BF219" s="102"/>
      <c r="BG219" s="102"/>
      <c r="BH219" s="102"/>
      <c r="BI219" s="102"/>
      <c r="BJ219" s="102"/>
      <c r="BK219" s="102"/>
      <c r="BL219" s="102"/>
      <c r="BM219" s="102"/>
      <c r="BN219" s="102"/>
      <c r="BO219" s="102"/>
      <c r="BP219" s="102"/>
      <c r="BQ219" s="102"/>
    </row>
    <row r="220" ht="15.75" customHeight="1">
      <c r="B220" s="20" t="s">
        <v>274</v>
      </c>
      <c r="C220" s="29"/>
      <c r="D220" s="22">
        <f t="shared" si="21"/>
        <v>0</v>
      </c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31"/>
      <c r="W220" s="31"/>
      <c r="X220" s="31"/>
      <c r="Y220" s="31"/>
      <c r="Z220" s="31"/>
      <c r="AA220" s="99"/>
      <c r="AB220" s="99"/>
      <c r="AC220" s="99"/>
      <c r="AD220" s="99"/>
      <c r="AE220" s="99"/>
      <c r="AF220" s="99"/>
      <c r="AG220" s="99"/>
      <c r="AH220" s="100"/>
      <c r="AI220" s="101"/>
      <c r="AJ220" s="99"/>
      <c r="AK220" s="99"/>
      <c r="AL220" s="99"/>
      <c r="AM220" s="99"/>
      <c r="AN220" s="99"/>
      <c r="AO220" s="99"/>
      <c r="AP220" s="99"/>
      <c r="AQ220" s="99"/>
      <c r="AR220" s="99"/>
      <c r="AS220" s="99"/>
      <c r="AT220" s="99"/>
      <c r="AU220" s="99"/>
      <c r="AV220" s="99"/>
      <c r="AW220" s="99"/>
      <c r="AX220" s="99"/>
      <c r="AY220" s="99"/>
      <c r="AZ220" s="99"/>
      <c r="BA220" s="99"/>
      <c r="BB220" s="99"/>
      <c r="BC220" s="99"/>
      <c r="BD220" s="99"/>
      <c r="BE220" s="99"/>
      <c r="BF220" s="99"/>
      <c r="BG220" s="99"/>
      <c r="BH220" s="99"/>
      <c r="BI220" s="99"/>
      <c r="BJ220" s="99"/>
      <c r="BK220" s="99"/>
      <c r="BL220" s="99"/>
      <c r="BM220" s="99"/>
      <c r="BN220" s="99"/>
      <c r="BO220" s="99"/>
      <c r="BP220" s="102"/>
      <c r="BQ220" s="102"/>
    </row>
    <row r="221" ht="15.75" customHeight="1">
      <c r="B221" s="103"/>
      <c r="C221" s="104"/>
      <c r="D221" s="105"/>
      <c r="E221" s="23"/>
      <c r="F221" s="23"/>
      <c r="G221" s="23"/>
      <c r="H221" s="23"/>
      <c r="I221" s="23"/>
      <c r="J221" s="23"/>
      <c r="K221" s="2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99"/>
      <c r="W221" s="99"/>
      <c r="X221" s="99"/>
      <c r="Y221" s="99"/>
      <c r="Z221" s="99"/>
      <c r="AA221" s="25"/>
      <c r="AB221" s="25"/>
      <c r="AC221" s="25"/>
      <c r="AD221" s="31"/>
      <c r="AE221" s="31"/>
      <c r="AF221" s="31"/>
      <c r="AG221" s="31"/>
      <c r="AH221" s="36"/>
      <c r="AI221" s="37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3"/>
      <c r="BQ221" s="33"/>
    </row>
    <row r="222" ht="15.75" customHeight="1">
      <c r="B222" s="34" t="s">
        <v>275</v>
      </c>
      <c r="C222" s="104"/>
      <c r="D222" s="105"/>
      <c r="E222" s="23"/>
      <c r="F222" s="23"/>
      <c r="G222" s="23"/>
      <c r="H222" s="23"/>
      <c r="I222" s="23"/>
      <c r="J222" s="23"/>
      <c r="K222" s="2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99"/>
      <c r="W222" s="99"/>
      <c r="X222" s="99"/>
      <c r="Y222" s="99"/>
      <c r="Z222" s="99"/>
      <c r="AA222" s="31"/>
      <c r="AB222" s="31"/>
      <c r="AC222" s="31"/>
      <c r="AD222" s="31"/>
      <c r="AE222" s="31"/>
      <c r="AF222" s="31"/>
      <c r="AG222" s="31"/>
      <c r="AH222" s="36"/>
      <c r="AI222" s="37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3"/>
      <c r="BQ222" s="33"/>
    </row>
    <row r="223" ht="15.75" customHeight="1">
      <c r="B223" s="20" t="s">
        <v>65</v>
      </c>
      <c r="C223" s="41" t="s">
        <v>276</v>
      </c>
      <c r="D223" s="22">
        <f t="shared" ref="D223:D230" si="22">SUM(E223:Z223)</f>
        <v>12</v>
      </c>
      <c r="E223" s="25">
        <v>6.0</v>
      </c>
      <c r="F223" s="25">
        <v>6.0</v>
      </c>
      <c r="G223" s="25"/>
      <c r="H223" s="25"/>
      <c r="I223" s="25"/>
      <c r="J223" s="25"/>
      <c r="K223" s="26"/>
      <c r="L223" s="26"/>
      <c r="M223" s="23"/>
      <c r="N223" s="23"/>
      <c r="O223" s="23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31"/>
      <c r="AB223" s="31"/>
      <c r="AC223" s="31"/>
      <c r="AD223" s="31"/>
      <c r="AE223" s="31"/>
      <c r="AF223" s="31"/>
      <c r="AG223" s="31"/>
      <c r="AH223" s="36"/>
      <c r="AI223" s="37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3"/>
      <c r="BQ223" s="33"/>
    </row>
    <row r="224" ht="15.75" customHeight="1">
      <c r="B224" s="20" t="s">
        <v>67</v>
      </c>
      <c r="C224" s="29" t="s">
        <v>277</v>
      </c>
      <c r="D224" s="22">
        <f t="shared" si="22"/>
        <v>6.585</v>
      </c>
      <c r="E224" s="25">
        <v>6.0</v>
      </c>
      <c r="F224" s="5">
        <v>0.585</v>
      </c>
      <c r="G224" s="106"/>
      <c r="H224" s="45"/>
      <c r="I224" s="5"/>
      <c r="J224" s="106"/>
      <c r="K224" s="3"/>
      <c r="L224" s="3"/>
      <c r="M224" s="3"/>
      <c r="N224" s="3"/>
      <c r="O224" s="106"/>
      <c r="P224" s="45"/>
      <c r="Q224" s="45"/>
      <c r="R224" s="25"/>
      <c r="S224" s="25"/>
      <c r="T224" s="25"/>
      <c r="U224" s="25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6"/>
      <c r="AI224" s="37"/>
      <c r="AJ224" s="31"/>
      <c r="AK224" s="31"/>
      <c r="AL224" s="31">
        <v>0.68</v>
      </c>
      <c r="AM224" s="31">
        <v>0.68</v>
      </c>
      <c r="AN224" s="31">
        <v>0.68</v>
      </c>
      <c r="AO224" s="31">
        <v>0.68</v>
      </c>
      <c r="AP224" s="31">
        <v>0.68</v>
      </c>
      <c r="AQ224" s="31">
        <v>0.68</v>
      </c>
      <c r="AR224" s="31">
        <v>0.68</v>
      </c>
      <c r="AS224" s="31">
        <v>0.68</v>
      </c>
      <c r="AT224" s="31">
        <v>0.68</v>
      </c>
      <c r="AU224" s="31">
        <v>0.68</v>
      </c>
      <c r="AV224" s="31">
        <v>0.68</v>
      </c>
      <c r="AW224" s="31">
        <v>0.68</v>
      </c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3"/>
      <c r="BQ224" s="33"/>
    </row>
    <row r="225" ht="15.75" customHeight="1">
      <c r="B225" s="20" t="s">
        <v>69</v>
      </c>
      <c r="C225" s="29" t="s">
        <v>278</v>
      </c>
      <c r="D225" s="22">
        <f t="shared" si="22"/>
        <v>7.937</v>
      </c>
      <c r="E225" s="25">
        <v>6.0</v>
      </c>
      <c r="F225" s="21">
        <v>1.5</v>
      </c>
      <c r="G225" s="21">
        <v>0.437</v>
      </c>
      <c r="H225" s="21"/>
      <c r="I225" s="107"/>
      <c r="J225" s="21"/>
      <c r="K225" s="108"/>
      <c r="L225" s="109"/>
      <c r="M225" s="107"/>
      <c r="N225" s="110"/>
      <c r="O225" s="21"/>
      <c r="P225" s="45"/>
      <c r="Q225" s="45"/>
      <c r="R225" s="25"/>
      <c r="S225" s="25"/>
      <c r="T225" s="25"/>
      <c r="U225" s="25"/>
      <c r="V225" s="31"/>
      <c r="W225" s="31"/>
      <c r="X225" s="31"/>
      <c r="Y225" s="31"/>
      <c r="Z225" s="31"/>
      <c r="AA225" s="23"/>
      <c r="AB225" s="23"/>
      <c r="AC225" s="23"/>
      <c r="AD225" s="23"/>
      <c r="AE225" s="23"/>
      <c r="AF225" s="23"/>
      <c r="AG225" s="23"/>
      <c r="AH225" s="111"/>
      <c r="AI225" s="112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5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3"/>
      <c r="BQ225" s="33"/>
    </row>
    <row r="226" ht="15.75" customHeight="1">
      <c r="B226" s="20" t="s">
        <v>71</v>
      </c>
      <c r="C226" s="29" t="s">
        <v>279</v>
      </c>
      <c r="D226" s="22">
        <f t="shared" si="22"/>
        <v>2.755</v>
      </c>
      <c r="E226" s="21">
        <v>2.755</v>
      </c>
      <c r="F226" s="21"/>
      <c r="G226" s="21"/>
      <c r="H226" s="21"/>
      <c r="I226" s="21"/>
      <c r="J226" s="21"/>
      <c r="K226" s="21"/>
      <c r="L226" s="23"/>
      <c r="M226" s="23"/>
      <c r="N226" s="23"/>
      <c r="O226" s="23"/>
      <c r="P226" s="25"/>
      <c r="Q226" s="23"/>
      <c r="R226" s="25"/>
      <c r="S226" s="23"/>
      <c r="T226" s="25"/>
      <c r="U226" s="23"/>
      <c r="V226" s="23"/>
      <c r="W226" s="23"/>
      <c r="X226" s="23"/>
      <c r="Y226" s="23"/>
      <c r="Z226" s="23"/>
      <c r="AA226" s="31"/>
      <c r="AB226" s="31"/>
      <c r="AC226" s="31"/>
      <c r="AD226" s="31">
        <v>0.68</v>
      </c>
      <c r="AE226" s="31">
        <v>0.68</v>
      </c>
      <c r="AF226" s="31">
        <v>0.68</v>
      </c>
      <c r="AG226" s="31">
        <v>0.68</v>
      </c>
      <c r="AH226" s="36">
        <v>0.68</v>
      </c>
      <c r="AI226" s="37">
        <v>0.68</v>
      </c>
      <c r="AJ226" s="31">
        <v>0.68</v>
      </c>
      <c r="AK226" s="31">
        <v>0.68</v>
      </c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3"/>
      <c r="BQ226" s="33"/>
    </row>
    <row r="227" ht="15.75" customHeight="1">
      <c r="B227" s="20" t="s">
        <v>73</v>
      </c>
      <c r="C227" s="29" t="s">
        <v>280</v>
      </c>
      <c r="D227" s="22">
        <f t="shared" si="22"/>
        <v>40.46</v>
      </c>
      <c r="E227" s="21">
        <v>6.035</v>
      </c>
      <c r="F227" s="21">
        <v>6.035</v>
      </c>
      <c r="G227" s="21">
        <v>6.01</v>
      </c>
      <c r="H227" s="45">
        <v>5.995</v>
      </c>
      <c r="I227" s="113">
        <v>5.984</v>
      </c>
      <c r="J227" s="21">
        <v>4.015</v>
      </c>
      <c r="K227" s="25">
        <v>2.216</v>
      </c>
      <c r="L227" s="25">
        <v>1.74</v>
      </c>
      <c r="M227" s="45">
        <v>1.86</v>
      </c>
      <c r="N227" s="25">
        <v>0.57</v>
      </c>
      <c r="O227" s="25"/>
      <c r="P227" s="45"/>
      <c r="Q227" s="25"/>
      <c r="R227" s="25"/>
      <c r="S227" s="25"/>
      <c r="T227" s="25"/>
      <c r="U227" s="25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6"/>
      <c r="AI227" s="37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3"/>
      <c r="BQ227" s="33"/>
    </row>
    <row r="228" ht="15.75" customHeight="1">
      <c r="B228" s="20" t="s">
        <v>281</v>
      </c>
      <c r="C228" s="29" t="s">
        <v>282</v>
      </c>
      <c r="D228" s="22">
        <f t="shared" si="22"/>
        <v>26.507</v>
      </c>
      <c r="E228" s="23">
        <v>4.743</v>
      </c>
      <c r="F228" s="23">
        <v>6.05</v>
      </c>
      <c r="G228" s="23">
        <v>6.009</v>
      </c>
      <c r="H228" s="23">
        <v>5.985</v>
      </c>
      <c r="I228" s="25">
        <v>3.72</v>
      </c>
      <c r="J228" s="23"/>
      <c r="K228" s="23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6"/>
      <c r="AI228" s="37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3"/>
      <c r="BQ228" s="33"/>
    </row>
    <row r="229" ht="15.75" customHeight="1">
      <c r="B229" s="20" t="s">
        <v>77</v>
      </c>
      <c r="C229" s="29" t="s">
        <v>283</v>
      </c>
      <c r="D229" s="22">
        <f t="shared" si="22"/>
        <v>16.962</v>
      </c>
      <c r="E229" s="23">
        <v>5.515</v>
      </c>
      <c r="F229" s="25">
        <v>2.754</v>
      </c>
      <c r="G229" s="25">
        <v>2.491</v>
      </c>
      <c r="H229" s="25">
        <v>2.025</v>
      </c>
      <c r="I229" s="25">
        <v>2.02</v>
      </c>
      <c r="J229" s="25">
        <v>1.726</v>
      </c>
      <c r="K229" s="25">
        <v>0.431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6"/>
      <c r="AI229" s="37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3"/>
      <c r="BQ229" s="33"/>
    </row>
    <row r="230" ht="15.75" customHeight="1">
      <c r="B230" s="20" t="s">
        <v>284</v>
      </c>
      <c r="C230" s="21" t="s">
        <v>283</v>
      </c>
      <c r="D230" s="22">
        <f t="shared" si="22"/>
        <v>3.6</v>
      </c>
      <c r="E230" s="23">
        <v>3.6</v>
      </c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6"/>
      <c r="AI230" s="37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3"/>
      <c r="BQ230" s="33"/>
    </row>
    <row r="231" ht="15.75" customHeight="1">
      <c r="B231" s="20"/>
      <c r="C231" s="42"/>
      <c r="D231" s="43"/>
      <c r="E231" s="25"/>
      <c r="F231" s="25"/>
      <c r="G231" s="25"/>
      <c r="H231" s="25"/>
      <c r="I231" s="25"/>
      <c r="J231" s="25"/>
      <c r="K231" s="25"/>
      <c r="L231" s="25"/>
      <c r="M231" s="25"/>
      <c r="N231" s="24" t="s">
        <v>285</v>
      </c>
      <c r="O231" s="25"/>
      <c r="P231" s="25"/>
      <c r="Q231" s="25"/>
      <c r="R231" s="25"/>
      <c r="S231" s="25"/>
      <c r="T231" s="25"/>
      <c r="U231" s="25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6"/>
      <c r="AI231" s="37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3"/>
      <c r="BQ231" s="33"/>
    </row>
    <row r="232" ht="15.75" customHeight="1">
      <c r="B232" s="34" t="s">
        <v>286</v>
      </c>
      <c r="C232" s="29"/>
      <c r="D232" s="22"/>
      <c r="E232" s="23"/>
      <c r="F232" s="23"/>
      <c r="G232" s="23"/>
      <c r="H232" s="23"/>
      <c r="I232" s="23"/>
      <c r="J232" s="23"/>
      <c r="K232" s="86"/>
      <c r="L232" s="23"/>
      <c r="M232" s="23"/>
      <c r="N232" s="25"/>
      <c r="O232" s="25"/>
      <c r="P232" s="25"/>
      <c r="Q232" s="25"/>
      <c r="R232" s="25"/>
      <c r="S232" s="25"/>
      <c r="T232" s="25"/>
      <c r="U232" s="25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6"/>
      <c r="AI232" s="37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3"/>
      <c r="BQ232" s="33"/>
    </row>
    <row r="233" ht="15.75" customHeight="1">
      <c r="B233" s="20" t="s">
        <v>65</v>
      </c>
      <c r="C233" s="29" t="s">
        <v>287</v>
      </c>
      <c r="D233" s="22">
        <f t="shared" ref="D233:D253" si="23">SUM(E233:Z233)</f>
        <v>14.99</v>
      </c>
      <c r="E233" s="23">
        <v>6.0</v>
      </c>
      <c r="F233" s="23">
        <v>5.18</v>
      </c>
      <c r="G233" s="47">
        <v>3.1</v>
      </c>
      <c r="H233" s="25"/>
      <c r="I233" s="25">
        <v>0.71</v>
      </c>
      <c r="J233" s="47"/>
      <c r="K233" s="47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6"/>
      <c r="AI233" s="37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3"/>
      <c r="BQ233" s="33"/>
    </row>
    <row r="234" ht="15.75" customHeight="1">
      <c r="B234" s="20" t="s">
        <v>67</v>
      </c>
      <c r="C234" s="29" t="s">
        <v>288</v>
      </c>
      <c r="D234" s="22">
        <f t="shared" si="23"/>
        <v>7.399</v>
      </c>
      <c r="E234" s="23">
        <v>5.115</v>
      </c>
      <c r="F234" s="28">
        <v>2.284</v>
      </c>
      <c r="G234" s="23"/>
      <c r="H234" s="23"/>
      <c r="I234" s="23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6"/>
      <c r="AI234" s="37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3"/>
      <c r="BQ234" s="33"/>
    </row>
    <row r="235" ht="15.75" customHeight="1">
      <c r="B235" s="20" t="s">
        <v>69</v>
      </c>
      <c r="C235" s="29" t="s">
        <v>289</v>
      </c>
      <c r="D235" s="22">
        <f t="shared" si="23"/>
        <v>31.358</v>
      </c>
      <c r="E235" s="28">
        <v>6.0</v>
      </c>
      <c r="F235" s="28">
        <v>6.0</v>
      </c>
      <c r="G235" s="28">
        <v>6.0</v>
      </c>
      <c r="H235" s="28">
        <v>6.0</v>
      </c>
      <c r="I235" s="28">
        <v>6.0</v>
      </c>
      <c r="J235" s="28">
        <v>1.358</v>
      </c>
      <c r="K235" s="28"/>
      <c r="L235" s="25"/>
      <c r="M235" s="25"/>
      <c r="N235" s="31"/>
      <c r="O235" s="31"/>
      <c r="P235" s="5"/>
      <c r="Q235" s="5"/>
      <c r="R235" s="44"/>
      <c r="S235" s="25"/>
      <c r="T235" s="25"/>
      <c r="U235" s="25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6"/>
      <c r="AI235" s="37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3"/>
      <c r="BQ235" s="33"/>
    </row>
    <row r="236" ht="15.75" customHeight="1">
      <c r="B236" s="20" t="s">
        <v>266</v>
      </c>
      <c r="C236" s="41">
        <v>24.38</v>
      </c>
      <c r="D236" s="22">
        <f t="shared" si="23"/>
        <v>19.867</v>
      </c>
      <c r="E236" s="23">
        <v>6.0</v>
      </c>
      <c r="F236" s="23">
        <v>6.0</v>
      </c>
      <c r="G236" s="23">
        <v>4.308</v>
      </c>
      <c r="H236" s="23">
        <v>1.519</v>
      </c>
      <c r="I236" s="23">
        <v>2.04</v>
      </c>
      <c r="J236" s="23"/>
      <c r="K236" s="23"/>
      <c r="L236" s="23"/>
      <c r="M236" s="25"/>
      <c r="N236" s="25"/>
      <c r="O236" s="25"/>
      <c r="P236" s="47"/>
      <c r="Q236" s="47"/>
      <c r="R236" s="25"/>
      <c r="S236" s="25"/>
      <c r="T236" s="25"/>
      <c r="U236" s="25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6"/>
      <c r="AI236" s="37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3"/>
      <c r="BQ236" s="33"/>
    </row>
    <row r="237" ht="15.75" customHeight="1">
      <c r="B237" s="20" t="s">
        <v>73</v>
      </c>
      <c r="C237" s="29" t="s">
        <v>290</v>
      </c>
      <c r="D237" s="22">
        <f t="shared" si="23"/>
        <v>6.594</v>
      </c>
      <c r="E237" s="28">
        <v>3.89</v>
      </c>
      <c r="F237" s="23">
        <v>2.704</v>
      </c>
      <c r="G237" s="23"/>
      <c r="H237" s="88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6"/>
      <c r="AI237" s="37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3"/>
      <c r="BQ237" s="33"/>
    </row>
    <row r="238" ht="15.75" customHeight="1">
      <c r="B238" s="20" t="s">
        <v>75</v>
      </c>
      <c r="C238" s="29" t="s">
        <v>291</v>
      </c>
      <c r="D238" s="22">
        <f t="shared" si="23"/>
        <v>3.966</v>
      </c>
      <c r="E238" s="28">
        <v>3.096</v>
      </c>
      <c r="F238" s="23">
        <v>0.87</v>
      </c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6"/>
      <c r="AI238" s="37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3"/>
      <c r="BQ238" s="33"/>
    </row>
    <row r="239" ht="15.75" customHeight="1">
      <c r="B239" s="20" t="s">
        <v>77</v>
      </c>
      <c r="C239" s="29" t="s">
        <v>292</v>
      </c>
      <c r="D239" s="22">
        <f t="shared" si="23"/>
        <v>5.941</v>
      </c>
      <c r="E239" s="28">
        <v>3.296</v>
      </c>
      <c r="F239" s="23">
        <v>2.05</v>
      </c>
      <c r="G239" s="23">
        <v>0.595</v>
      </c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6"/>
      <c r="AI239" s="37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3"/>
      <c r="BQ239" s="33"/>
    </row>
    <row r="240" ht="15.75" customHeight="1">
      <c r="B240" s="20" t="s">
        <v>79</v>
      </c>
      <c r="C240" s="29" t="s">
        <v>293</v>
      </c>
      <c r="D240" s="22">
        <f t="shared" si="23"/>
        <v>2.47</v>
      </c>
      <c r="E240" s="28">
        <v>2.47</v>
      </c>
      <c r="F240" s="23"/>
      <c r="G240" s="23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6"/>
      <c r="AI240" s="37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3"/>
      <c r="BQ240" s="33"/>
    </row>
    <row r="241" ht="15.75" customHeight="1">
      <c r="B241" s="20" t="s">
        <v>81</v>
      </c>
      <c r="C241" s="29" t="s">
        <v>294</v>
      </c>
      <c r="D241" s="22">
        <f t="shared" si="23"/>
        <v>14.906</v>
      </c>
      <c r="E241" s="23">
        <v>6.0</v>
      </c>
      <c r="F241" s="23">
        <v>5.08</v>
      </c>
      <c r="G241" s="114">
        <v>3.382</v>
      </c>
      <c r="H241" s="25">
        <v>0.444</v>
      </c>
      <c r="I241" s="115"/>
      <c r="J241" s="11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6"/>
      <c r="AI241" s="37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3"/>
      <c r="BQ241" s="33"/>
    </row>
    <row r="242" ht="15.75" customHeight="1">
      <c r="B242" s="20" t="s">
        <v>83</v>
      </c>
      <c r="C242" s="29" t="s">
        <v>295</v>
      </c>
      <c r="D242" s="22">
        <f t="shared" si="23"/>
        <v>7.94</v>
      </c>
      <c r="E242" s="28">
        <v>6.0</v>
      </c>
      <c r="F242" s="28">
        <v>1.94</v>
      </c>
      <c r="G242" s="88"/>
      <c r="H242" s="88"/>
      <c r="I242" s="23"/>
      <c r="J242" s="47"/>
      <c r="K242" s="23"/>
      <c r="L242" s="23"/>
      <c r="M242" s="23"/>
      <c r="N242" s="23"/>
      <c r="O242" s="25"/>
      <c r="P242" s="25"/>
      <c r="Q242" s="25"/>
      <c r="R242" s="25"/>
      <c r="S242" s="25"/>
      <c r="T242" s="25"/>
      <c r="U242" s="25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6"/>
      <c r="AI242" s="37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3"/>
      <c r="BQ242" s="33"/>
    </row>
    <row r="243" ht="15.75" customHeight="1">
      <c r="B243" s="20" t="s">
        <v>296</v>
      </c>
      <c r="C243" s="29" t="s">
        <v>297</v>
      </c>
      <c r="D243" s="22">
        <f t="shared" si="23"/>
        <v>4.551</v>
      </c>
      <c r="E243" s="23">
        <v>3.025</v>
      </c>
      <c r="F243" s="23">
        <v>1.526</v>
      </c>
      <c r="G243" s="25"/>
      <c r="H243" s="23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6"/>
      <c r="AI243" s="37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3"/>
      <c r="BQ243" s="33"/>
    </row>
    <row r="244" ht="15.75" customHeight="1">
      <c r="B244" s="20" t="s">
        <v>87</v>
      </c>
      <c r="C244" s="29" t="s">
        <v>298</v>
      </c>
      <c r="D244" s="22">
        <f t="shared" si="23"/>
        <v>11.021</v>
      </c>
      <c r="E244" s="23">
        <v>6.0</v>
      </c>
      <c r="F244" s="25">
        <v>3.127</v>
      </c>
      <c r="G244" s="24">
        <v>1.75</v>
      </c>
      <c r="H244" s="25">
        <v>0.144</v>
      </c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6"/>
      <c r="AI244" s="37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3"/>
      <c r="BQ244" s="33"/>
    </row>
    <row r="245" ht="15.75" customHeight="1">
      <c r="B245" s="20" t="s">
        <v>299</v>
      </c>
      <c r="C245" s="29" t="s">
        <v>300</v>
      </c>
      <c r="D245" s="22">
        <f t="shared" si="23"/>
        <v>6.865</v>
      </c>
      <c r="E245" s="23">
        <v>6.2</v>
      </c>
      <c r="F245" s="23">
        <v>0.665</v>
      </c>
      <c r="G245" s="23"/>
      <c r="H245" s="25"/>
      <c r="I245" s="23"/>
      <c r="J245" s="23"/>
      <c r="K245" s="23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6"/>
      <c r="AI245" s="37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3"/>
      <c r="BQ245" s="33"/>
    </row>
    <row r="246" ht="15.75" customHeight="1">
      <c r="B246" s="20" t="s">
        <v>91</v>
      </c>
      <c r="C246" s="29"/>
      <c r="D246" s="22">
        <f t="shared" si="23"/>
        <v>4.98</v>
      </c>
      <c r="E246" s="25">
        <v>4.98</v>
      </c>
      <c r="F246" s="25"/>
      <c r="G246" s="25"/>
      <c r="H246" s="25"/>
      <c r="I246" s="23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6"/>
      <c r="AI246" s="37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3"/>
      <c r="BQ246" s="33"/>
    </row>
    <row r="247" ht="15.75" customHeight="1">
      <c r="B247" s="20" t="s">
        <v>93</v>
      </c>
      <c r="C247" s="27" t="s">
        <v>301</v>
      </c>
      <c r="D247" s="22">
        <f t="shared" si="23"/>
        <v>4.335</v>
      </c>
      <c r="E247" s="23">
        <v>3.015</v>
      </c>
      <c r="F247" s="28">
        <v>1.32</v>
      </c>
      <c r="G247" s="23"/>
      <c r="H247" s="25"/>
      <c r="I247" s="25"/>
      <c r="J247" s="23"/>
      <c r="K247" s="5"/>
      <c r="L247" s="44"/>
      <c r="M247" s="25"/>
      <c r="N247" s="25"/>
      <c r="O247" s="25"/>
      <c r="P247" s="25"/>
      <c r="Q247" s="25"/>
      <c r="R247" s="25"/>
      <c r="S247" s="25"/>
      <c r="T247" s="25"/>
      <c r="U247" s="25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6"/>
      <c r="AI247" s="37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3"/>
      <c r="BQ247" s="33"/>
    </row>
    <row r="248" ht="15.75" customHeight="1">
      <c r="B248" s="20" t="s">
        <v>302</v>
      </c>
      <c r="C248" s="29"/>
      <c r="D248" s="22">
        <f t="shared" si="23"/>
        <v>1.483</v>
      </c>
      <c r="E248" s="23">
        <v>1.008</v>
      </c>
      <c r="F248" s="28">
        <v>0.475</v>
      </c>
      <c r="G248" s="23"/>
      <c r="H248" s="25"/>
      <c r="I248" s="25"/>
      <c r="J248" s="25"/>
      <c r="K248" s="47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6"/>
      <c r="AI248" s="37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3"/>
      <c r="BQ248" s="33"/>
    </row>
    <row r="249" ht="15.75" customHeight="1">
      <c r="B249" s="20" t="s">
        <v>303</v>
      </c>
      <c r="C249" s="29" t="s">
        <v>304</v>
      </c>
      <c r="D249" s="22">
        <f t="shared" si="23"/>
        <v>0.8</v>
      </c>
      <c r="E249" s="28">
        <v>0.8</v>
      </c>
      <c r="F249" s="23"/>
      <c r="G249" s="44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6"/>
      <c r="AI249" s="37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3"/>
      <c r="BQ249" s="33"/>
    </row>
    <row r="250" ht="15.75" customHeight="1">
      <c r="B250" s="20" t="s">
        <v>305</v>
      </c>
      <c r="C250" s="42"/>
      <c r="D250" s="22">
        <f t="shared" si="23"/>
        <v>3.76</v>
      </c>
      <c r="E250" s="25">
        <v>3.76</v>
      </c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6"/>
      <c r="AI250" s="37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3"/>
      <c r="BQ250" s="33"/>
    </row>
    <row r="251" ht="15.75" customHeight="1">
      <c r="B251" s="20" t="s">
        <v>306</v>
      </c>
      <c r="C251" s="29" t="s">
        <v>307</v>
      </c>
      <c r="D251" s="22">
        <f t="shared" si="23"/>
        <v>0.411</v>
      </c>
      <c r="E251" s="25">
        <v>0.411</v>
      </c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6"/>
      <c r="AI251" s="37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3"/>
      <c r="BQ251" s="33"/>
    </row>
    <row r="252" ht="15.75" customHeight="1">
      <c r="B252" s="20" t="s">
        <v>308</v>
      </c>
      <c r="C252" s="29"/>
      <c r="D252" s="22">
        <f t="shared" si="23"/>
        <v>0.171</v>
      </c>
      <c r="E252" s="23">
        <v>0.171</v>
      </c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6"/>
      <c r="AI252" s="37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3"/>
      <c r="BQ252" s="33"/>
    </row>
    <row r="253" ht="15.75" customHeight="1">
      <c r="B253" s="116" t="s">
        <v>309</v>
      </c>
      <c r="C253" s="42"/>
      <c r="D253" s="22">
        <f t="shared" si="23"/>
        <v>0.445</v>
      </c>
      <c r="E253" s="24">
        <v>0.445</v>
      </c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6"/>
      <c r="AI253" s="37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3"/>
      <c r="BQ253" s="33"/>
    </row>
    <row r="254" ht="15.75" customHeight="1">
      <c r="B254" s="117"/>
      <c r="C254" s="48"/>
      <c r="D254" s="43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6"/>
      <c r="AI254" s="37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3"/>
      <c r="BQ254" s="33"/>
    </row>
    <row r="255" ht="15.75" customHeight="1">
      <c r="B255" s="34" t="s">
        <v>310</v>
      </c>
      <c r="C255" s="29"/>
      <c r="D255" s="22"/>
      <c r="E255" s="23"/>
      <c r="F255" s="23"/>
      <c r="G255" s="23"/>
      <c r="H255" s="23"/>
      <c r="I255" s="25"/>
      <c r="J255" s="5"/>
      <c r="K255" s="5"/>
      <c r="L255" s="44"/>
      <c r="M255" s="25"/>
      <c r="N255" s="25"/>
      <c r="O255" s="25"/>
      <c r="P255" s="25"/>
      <c r="Q255" s="25"/>
      <c r="R255" s="25"/>
      <c r="S255" s="25"/>
      <c r="T255" s="25"/>
      <c r="U255" s="25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6"/>
      <c r="AI255" s="37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3"/>
      <c r="BQ255" s="33"/>
    </row>
    <row r="256" ht="15.75" customHeight="1">
      <c r="B256" s="20"/>
      <c r="C256" s="118"/>
      <c r="D256" s="22"/>
      <c r="E256" s="23"/>
      <c r="F256" s="23"/>
      <c r="G256" s="23"/>
      <c r="H256" s="5"/>
      <c r="I256" s="5"/>
      <c r="J256" s="26"/>
      <c r="K256" s="47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6"/>
      <c r="AI256" s="37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3"/>
      <c r="BQ256" s="33"/>
    </row>
    <row r="257" ht="15.75" customHeight="1">
      <c r="B257" s="20" t="s">
        <v>109</v>
      </c>
      <c r="C257" s="118" t="s">
        <v>311</v>
      </c>
      <c r="D257" s="22">
        <f t="shared" ref="D257:D290" si="24">SUM(E257:Z257)</f>
        <v>18.815</v>
      </c>
      <c r="E257" s="23">
        <v>6.0</v>
      </c>
      <c r="F257" s="23">
        <v>6.0</v>
      </c>
      <c r="G257" s="25">
        <v>6.0</v>
      </c>
      <c r="H257" s="119">
        <v>0.815</v>
      </c>
      <c r="I257" s="47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6"/>
      <c r="AI257" s="37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3"/>
      <c r="BQ257" s="33"/>
    </row>
    <row r="258" ht="15.75" customHeight="1">
      <c r="B258" s="20" t="s">
        <v>110</v>
      </c>
      <c r="C258" s="118" t="s">
        <v>312</v>
      </c>
      <c r="D258" s="22">
        <f t="shared" si="24"/>
        <v>15.195</v>
      </c>
      <c r="E258" s="23">
        <v>6.0</v>
      </c>
      <c r="F258" s="25">
        <v>5.45</v>
      </c>
      <c r="G258" s="25">
        <v>3.745</v>
      </c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6"/>
      <c r="AI258" s="37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3"/>
      <c r="BQ258" s="33"/>
    </row>
    <row r="259" ht="15.75" customHeight="1">
      <c r="B259" s="20" t="s">
        <v>218</v>
      </c>
      <c r="C259" s="29" t="s">
        <v>313</v>
      </c>
      <c r="D259" s="22">
        <f t="shared" si="24"/>
        <v>9.13</v>
      </c>
      <c r="E259" s="23">
        <v>6.0</v>
      </c>
      <c r="F259" s="23">
        <v>3.13</v>
      </c>
      <c r="G259" s="23"/>
      <c r="H259" s="23"/>
      <c r="I259" s="23"/>
      <c r="J259" s="23"/>
      <c r="K259" s="23"/>
      <c r="L259" s="23"/>
      <c r="M259" s="23"/>
      <c r="N259" s="23"/>
      <c r="O259" s="23"/>
      <c r="P259" s="25"/>
      <c r="Q259" s="25"/>
      <c r="R259" s="25"/>
      <c r="S259" s="25"/>
      <c r="T259" s="25"/>
      <c r="U259" s="25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6"/>
      <c r="AI259" s="37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3"/>
      <c r="BQ259" s="33"/>
    </row>
    <row r="260" ht="15.75" customHeight="1">
      <c r="B260" s="20" t="s">
        <v>314</v>
      </c>
      <c r="C260" s="21" t="s">
        <v>315</v>
      </c>
      <c r="D260" s="22">
        <f t="shared" si="24"/>
        <v>5.544</v>
      </c>
      <c r="E260" s="23">
        <v>5.544</v>
      </c>
      <c r="F260" s="23"/>
      <c r="G260" s="23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6"/>
      <c r="AI260" s="37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3"/>
      <c r="BQ260" s="33"/>
    </row>
    <row r="261" ht="15.75" customHeight="1">
      <c r="B261" s="20" t="s">
        <v>24</v>
      </c>
      <c r="C261" s="29" t="s">
        <v>316</v>
      </c>
      <c r="D261" s="22">
        <f t="shared" si="24"/>
        <v>35.414</v>
      </c>
      <c r="E261" s="23">
        <v>6.0</v>
      </c>
      <c r="F261" s="25">
        <v>6.0</v>
      </c>
      <c r="G261" s="25">
        <v>6.0</v>
      </c>
      <c r="H261" s="25">
        <v>6.0</v>
      </c>
      <c r="I261" s="24">
        <v>5.962</v>
      </c>
      <c r="J261" s="25">
        <v>4.944</v>
      </c>
      <c r="K261" s="25">
        <v>0.508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6"/>
      <c r="AI261" s="37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3"/>
      <c r="BQ261" s="33"/>
    </row>
    <row r="262" ht="15.75" customHeight="1">
      <c r="B262" s="20" t="s">
        <v>317</v>
      </c>
      <c r="C262" s="29" t="s">
        <v>318</v>
      </c>
      <c r="D262" s="22">
        <f t="shared" si="24"/>
        <v>16.018</v>
      </c>
      <c r="E262" s="23">
        <v>5.97</v>
      </c>
      <c r="F262" s="25">
        <v>5.97</v>
      </c>
      <c r="G262" s="24">
        <v>4.078</v>
      </c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6"/>
      <c r="AI262" s="37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3"/>
      <c r="BQ262" s="33"/>
    </row>
    <row r="263" ht="15.75" customHeight="1">
      <c r="B263" s="20" t="s">
        <v>26</v>
      </c>
      <c r="C263" s="29" t="s">
        <v>319</v>
      </c>
      <c r="D263" s="22">
        <f t="shared" si="24"/>
        <v>21</v>
      </c>
      <c r="E263" s="23">
        <v>6.0</v>
      </c>
      <c r="F263" s="23">
        <v>6.0</v>
      </c>
      <c r="G263" s="23">
        <v>6.0</v>
      </c>
      <c r="H263" s="25">
        <v>3.0</v>
      </c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6"/>
      <c r="AI263" s="37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3"/>
      <c r="BQ263" s="33"/>
    </row>
    <row r="264" ht="15.75" customHeight="1">
      <c r="B264" s="81" t="s">
        <v>320</v>
      </c>
      <c r="C264" s="29" t="s">
        <v>321</v>
      </c>
      <c r="D264" s="22">
        <f t="shared" si="24"/>
        <v>5.955</v>
      </c>
      <c r="E264" s="23">
        <v>5.955</v>
      </c>
      <c r="F264" s="23"/>
      <c r="G264" s="25"/>
      <c r="H264" s="5"/>
      <c r="I264" s="37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6"/>
      <c r="AI264" s="37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3"/>
      <c r="BQ264" s="33"/>
    </row>
    <row r="265" ht="15.75" customHeight="1">
      <c r="B265" s="81" t="s">
        <v>322</v>
      </c>
      <c r="C265" s="29" t="s">
        <v>323</v>
      </c>
      <c r="D265" s="22">
        <f t="shared" si="24"/>
        <v>2.49</v>
      </c>
      <c r="E265" s="23">
        <v>2.49</v>
      </c>
      <c r="F265" s="23"/>
      <c r="G265" s="5"/>
      <c r="H265" s="26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6"/>
      <c r="AI265" s="37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3"/>
      <c r="BQ265" s="33"/>
    </row>
    <row r="266" ht="15.75" customHeight="1">
      <c r="B266" s="81" t="s">
        <v>324</v>
      </c>
      <c r="C266" s="29" t="s">
        <v>325</v>
      </c>
      <c r="D266" s="22">
        <f t="shared" si="24"/>
        <v>13.635</v>
      </c>
      <c r="E266" s="23">
        <v>6.0</v>
      </c>
      <c r="F266" s="23">
        <v>6.0</v>
      </c>
      <c r="G266" s="28">
        <v>1.135</v>
      </c>
      <c r="H266" s="23">
        <v>0.5</v>
      </c>
      <c r="I266" s="23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6"/>
      <c r="AI266" s="37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3"/>
      <c r="BQ266" s="33"/>
    </row>
    <row r="267" ht="15.75" customHeight="1">
      <c r="B267" s="81" t="s">
        <v>117</v>
      </c>
      <c r="C267" s="29" t="s">
        <v>326</v>
      </c>
      <c r="D267" s="22">
        <f t="shared" si="24"/>
        <v>10.8</v>
      </c>
      <c r="E267" s="23">
        <v>5.397</v>
      </c>
      <c r="F267" s="25">
        <v>5.403</v>
      </c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6"/>
      <c r="AI267" s="37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3"/>
      <c r="BQ267" s="33"/>
    </row>
    <row r="268" ht="15.75" customHeight="1">
      <c r="B268" s="81" t="s">
        <v>327</v>
      </c>
      <c r="C268" s="29" t="s">
        <v>328</v>
      </c>
      <c r="D268" s="22">
        <f t="shared" si="24"/>
        <v>2.465</v>
      </c>
      <c r="E268" s="23">
        <v>2.465</v>
      </c>
      <c r="F268" s="23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6"/>
      <c r="AI268" s="37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3"/>
      <c r="BQ268" s="33"/>
    </row>
    <row r="269" ht="15.75" customHeight="1">
      <c r="B269" s="81" t="s">
        <v>329</v>
      </c>
      <c r="C269" s="29" t="s">
        <v>330</v>
      </c>
      <c r="D269" s="22">
        <f t="shared" si="24"/>
        <v>24</v>
      </c>
      <c r="E269" s="23">
        <v>6.0</v>
      </c>
      <c r="F269" s="23">
        <v>6.0</v>
      </c>
      <c r="G269" s="23">
        <v>6.0</v>
      </c>
      <c r="H269" s="23">
        <v>6.0</v>
      </c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6"/>
      <c r="AI269" s="37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3"/>
      <c r="BQ269" s="33"/>
    </row>
    <row r="270" ht="15.75" customHeight="1">
      <c r="B270" s="81" t="s">
        <v>331</v>
      </c>
      <c r="C270" s="29">
        <v>85.96</v>
      </c>
      <c r="D270" s="22">
        <f t="shared" si="24"/>
        <v>6.005</v>
      </c>
      <c r="E270" s="23">
        <v>6.005</v>
      </c>
      <c r="F270" s="23"/>
      <c r="G270" s="23"/>
      <c r="H270" s="23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6"/>
      <c r="AI270" s="37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3"/>
      <c r="BQ270" s="33"/>
    </row>
    <row r="271" ht="15.75" customHeight="1">
      <c r="B271" s="81" t="s">
        <v>234</v>
      </c>
      <c r="C271" s="29" t="s">
        <v>332</v>
      </c>
      <c r="D271" s="22">
        <f t="shared" si="24"/>
        <v>12</v>
      </c>
      <c r="E271" s="25">
        <v>6.0</v>
      </c>
      <c r="F271" s="23">
        <v>6.0</v>
      </c>
      <c r="G271" s="23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6"/>
      <c r="AI271" s="37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3"/>
      <c r="BQ271" s="33"/>
    </row>
    <row r="272" ht="15.75" customHeight="1">
      <c r="B272" s="81" t="s">
        <v>333</v>
      </c>
      <c r="C272" s="29" t="s">
        <v>334</v>
      </c>
      <c r="D272" s="22">
        <f t="shared" si="24"/>
        <v>17.94</v>
      </c>
      <c r="E272" s="25">
        <v>5.98</v>
      </c>
      <c r="F272" s="25">
        <v>5.98</v>
      </c>
      <c r="G272" s="25">
        <v>5.98</v>
      </c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6"/>
      <c r="AI272" s="37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3"/>
      <c r="BQ272" s="33"/>
    </row>
    <row r="273" ht="15.75" customHeight="1">
      <c r="B273" s="81" t="s">
        <v>335</v>
      </c>
      <c r="C273" s="29"/>
      <c r="D273" s="22">
        <f t="shared" si="24"/>
        <v>4.209</v>
      </c>
      <c r="E273" s="23">
        <v>4.209</v>
      </c>
      <c r="F273" s="23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6"/>
      <c r="AI273" s="37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3"/>
      <c r="BQ273" s="33"/>
    </row>
    <row r="274" ht="15.75" customHeight="1">
      <c r="B274" s="81" t="s">
        <v>336</v>
      </c>
      <c r="C274" s="29" t="s">
        <v>337</v>
      </c>
      <c r="D274" s="22">
        <f t="shared" si="24"/>
        <v>6</v>
      </c>
      <c r="E274" s="23">
        <v>6.0</v>
      </c>
      <c r="F274" s="23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6"/>
      <c r="AI274" s="37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3"/>
      <c r="BQ274" s="33"/>
    </row>
    <row r="275" ht="15.75" customHeight="1">
      <c r="B275" s="81" t="s">
        <v>338</v>
      </c>
      <c r="C275" s="120" t="s">
        <v>339</v>
      </c>
      <c r="D275" s="22">
        <f t="shared" si="24"/>
        <v>9.91</v>
      </c>
      <c r="E275" s="23">
        <v>6.0</v>
      </c>
      <c r="F275" s="23">
        <v>3.91</v>
      </c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6"/>
      <c r="AI275" s="37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3"/>
      <c r="BQ275" s="33"/>
    </row>
    <row r="276" ht="15.75" customHeight="1">
      <c r="B276" s="81" t="s">
        <v>241</v>
      </c>
      <c r="C276" s="121"/>
      <c r="D276" s="22">
        <f t="shared" si="24"/>
        <v>1.133</v>
      </c>
      <c r="E276" s="23">
        <v>1.133</v>
      </c>
      <c r="F276" s="23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6"/>
      <c r="AI276" s="37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3"/>
      <c r="BQ276" s="33"/>
    </row>
    <row r="277" ht="15.75" customHeight="1">
      <c r="B277" s="81" t="s">
        <v>340</v>
      </c>
      <c r="C277" s="29" t="s">
        <v>341</v>
      </c>
      <c r="D277" s="22">
        <f t="shared" si="24"/>
        <v>7.883</v>
      </c>
      <c r="E277" s="23">
        <v>6.0</v>
      </c>
      <c r="F277" s="23">
        <v>1.883</v>
      </c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6"/>
      <c r="AI277" s="37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3"/>
      <c r="BQ277" s="33"/>
    </row>
    <row r="278" ht="15.75" customHeight="1">
      <c r="B278" s="81" t="s">
        <v>342</v>
      </c>
      <c r="C278" s="29"/>
      <c r="D278" s="22">
        <f t="shared" si="24"/>
        <v>0.493</v>
      </c>
      <c r="E278" s="28">
        <v>0.493</v>
      </c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6"/>
      <c r="AI278" s="37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3"/>
      <c r="BQ278" s="33"/>
    </row>
    <row r="279" ht="15.75" customHeight="1">
      <c r="B279" s="81" t="s">
        <v>130</v>
      </c>
      <c r="C279" s="29" t="s">
        <v>343</v>
      </c>
      <c r="D279" s="22">
        <f t="shared" si="24"/>
        <v>4.133</v>
      </c>
      <c r="E279" s="23">
        <v>4.133</v>
      </c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6"/>
      <c r="AI279" s="37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3"/>
      <c r="BQ279" s="33"/>
    </row>
    <row r="280" ht="15.75" customHeight="1">
      <c r="B280" s="81" t="s">
        <v>251</v>
      </c>
      <c r="C280" s="29" t="s">
        <v>344</v>
      </c>
      <c r="D280" s="22">
        <f t="shared" si="24"/>
        <v>1.6</v>
      </c>
      <c r="E280" s="23">
        <v>1.6</v>
      </c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6"/>
      <c r="AI280" s="37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3"/>
      <c r="BQ280" s="33"/>
    </row>
    <row r="281" ht="15.75" customHeight="1">
      <c r="B281" s="81" t="s">
        <v>249</v>
      </c>
      <c r="C281" s="29" t="s">
        <v>345</v>
      </c>
      <c r="D281" s="22">
        <f t="shared" si="24"/>
        <v>0.533</v>
      </c>
      <c r="E281" s="23">
        <v>0.533</v>
      </c>
      <c r="F281" s="23"/>
      <c r="G281" s="23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6"/>
      <c r="AI281" s="37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3"/>
      <c r="BQ281" s="33"/>
    </row>
    <row r="282" ht="15.75" customHeight="1">
      <c r="B282" s="81" t="s">
        <v>135</v>
      </c>
      <c r="C282" s="29" t="s">
        <v>346</v>
      </c>
      <c r="D282" s="22">
        <f t="shared" si="24"/>
        <v>9.318</v>
      </c>
      <c r="E282" s="23">
        <v>6.0</v>
      </c>
      <c r="F282" s="28">
        <v>3.318</v>
      </c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6"/>
      <c r="AI282" s="37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3"/>
      <c r="BQ282" s="33"/>
    </row>
    <row r="283" ht="15.75" customHeight="1">
      <c r="B283" s="81" t="s">
        <v>347</v>
      </c>
      <c r="C283" s="29"/>
      <c r="D283" s="22">
        <f t="shared" si="24"/>
        <v>5.97</v>
      </c>
      <c r="E283" s="23">
        <v>5.97</v>
      </c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6"/>
      <c r="AI283" s="37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3"/>
      <c r="BQ283" s="33"/>
    </row>
    <row r="284" ht="15.75" customHeight="1">
      <c r="B284" s="81" t="s">
        <v>348</v>
      </c>
      <c r="C284" s="29" t="s">
        <v>349</v>
      </c>
      <c r="D284" s="22">
        <f t="shared" si="24"/>
        <v>2.344</v>
      </c>
      <c r="E284" s="23">
        <v>1.24</v>
      </c>
      <c r="F284" s="25">
        <v>0.622</v>
      </c>
      <c r="G284" s="25">
        <v>0.482</v>
      </c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6"/>
      <c r="AI284" s="37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3"/>
      <c r="BQ284" s="33"/>
    </row>
    <row r="285" ht="15.75" customHeight="1">
      <c r="B285" s="81" t="s">
        <v>350</v>
      </c>
      <c r="C285" s="29" t="s">
        <v>351</v>
      </c>
      <c r="D285" s="22">
        <f t="shared" si="24"/>
        <v>11.674</v>
      </c>
      <c r="E285" s="23">
        <v>6.0</v>
      </c>
      <c r="F285" s="23">
        <v>5.674</v>
      </c>
      <c r="G285" s="23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6"/>
      <c r="AI285" s="37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3"/>
      <c r="BQ285" s="33"/>
    </row>
    <row r="286" ht="15.75" customHeight="1">
      <c r="B286" s="81" t="s">
        <v>254</v>
      </c>
      <c r="C286" s="29" t="s">
        <v>352</v>
      </c>
      <c r="D286" s="22">
        <f t="shared" si="24"/>
        <v>1.968</v>
      </c>
      <c r="E286" s="23">
        <v>1.968</v>
      </c>
      <c r="F286" s="23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6"/>
      <c r="AI286" s="37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3"/>
      <c r="BQ286" s="33"/>
    </row>
    <row r="287" ht="15.75" customHeight="1">
      <c r="B287" s="81" t="s">
        <v>353</v>
      </c>
      <c r="C287" s="29" t="s">
        <v>354</v>
      </c>
      <c r="D287" s="22">
        <f t="shared" si="24"/>
        <v>3.732</v>
      </c>
      <c r="E287" s="28">
        <v>1.478</v>
      </c>
      <c r="F287" s="25">
        <v>1.17</v>
      </c>
      <c r="G287" s="25">
        <v>1.004</v>
      </c>
      <c r="H287" s="25">
        <v>0.08</v>
      </c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6"/>
      <c r="AI287" s="37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3"/>
      <c r="BQ287" s="33"/>
    </row>
    <row r="288" ht="15.75" customHeight="1">
      <c r="B288" s="81" t="s">
        <v>355</v>
      </c>
      <c r="C288" s="29"/>
      <c r="D288" s="22">
        <f t="shared" si="24"/>
        <v>1.41</v>
      </c>
      <c r="E288" s="25">
        <v>1.41</v>
      </c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6"/>
      <c r="AI288" s="37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3"/>
      <c r="BQ288" s="33"/>
    </row>
    <row r="289" ht="15.75" customHeight="1">
      <c r="B289" s="81" t="s">
        <v>256</v>
      </c>
      <c r="C289" s="29" t="s">
        <v>356</v>
      </c>
      <c r="D289" s="22">
        <f t="shared" si="24"/>
        <v>1.065</v>
      </c>
      <c r="E289" s="25">
        <v>0.809</v>
      </c>
      <c r="F289" s="25">
        <v>0.256</v>
      </c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6"/>
      <c r="AI289" s="37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3"/>
      <c r="BQ289" s="33"/>
    </row>
    <row r="290" ht="15.75" customHeight="1">
      <c r="B290" s="81" t="s">
        <v>357</v>
      </c>
      <c r="C290" s="21" t="s">
        <v>358</v>
      </c>
      <c r="D290" s="22">
        <f t="shared" si="24"/>
        <v>0.415</v>
      </c>
      <c r="E290" s="25">
        <v>0.415</v>
      </c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6"/>
      <c r="AI290" s="37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3"/>
      <c r="BQ290" s="33"/>
    </row>
    <row r="291" ht="15.75" customHeight="1">
      <c r="B291" s="81"/>
      <c r="C291" s="42"/>
      <c r="D291" s="43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6"/>
      <c r="AI291" s="37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3"/>
      <c r="BQ291" s="33"/>
    </row>
    <row r="292" ht="15.75" customHeight="1">
      <c r="B292" s="34" t="s">
        <v>359</v>
      </c>
      <c r="C292" s="29"/>
      <c r="D292" s="22"/>
      <c r="E292" s="87"/>
      <c r="F292" s="87"/>
      <c r="G292" s="54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25"/>
      <c r="V292" s="25"/>
      <c r="W292" s="25"/>
      <c r="X292" s="5"/>
      <c r="Y292" s="37"/>
      <c r="Z292" s="31"/>
      <c r="AA292" s="31"/>
      <c r="AB292" s="31"/>
      <c r="AC292" s="31"/>
      <c r="AD292" s="31"/>
      <c r="AE292" s="31"/>
      <c r="AF292" s="31"/>
      <c r="AG292" s="31"/>
      <c r="AH292" s="36"/>
      <c r="AI292" s="37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3"/>
      <c r="BQ292" s="33"/>
    </row>
    <row r="293" ht="15.75" customHeight="1">
      <c r="B293" s="81" t="s">
        <v>360</v>
      </c>
      <c r="C293" s="122" t="s">
        <v>361</v>
      </c>
      <c r="D293" s="22">
        <f t="shared" ref="D293:D304" si="25">SUM(E293:Z293)</f>
        <v>9.299</v>
      </c>
      <c r="E293" s="123">
        <v>4.792</v>
      </c>
      <c r="F293" s="123">
        <v>3.405</v>
      </c>
      <c r="G293" s="124">
        <v>1.102</v>
      </c>
      <c r="H293" s="124"/>
      <c r="I293" s="125"/>
      <c r="J293" s="87"/>
      <c r="K293" s="87"/>
      <c r="L293" s="87"/>
      <c r="M293" s="87"/>
      <c r="N293" s="87"/>
      <c r="O293" s="126"/>
      <c r="P293" s="126"/>
      <c r="Q293" s="126"/>
      <c r="R293" s="87"/>
      <c r="S293" s="87"/>
      <c r="T293" s="126"/>
      <c r="U293" s="26"/>
      <c r="V293" s="26"/>
      <c r="W293" s="44"/>
      <c r="X293" s="5"/>
      <c r="Y293" s="37"/>
      <c r="Z293" s="31"/>
      <c r="AA293" s="127"/>
      <c r="AB293" s="25"/>
      <c r="AC293" s="25"/>
      <c r="AD293" s="25"/>
      <c r="AE293" s="31"/>
      <c r="AF293" s="31"/>
      <c r="AG293" s="5"/>
      <c r="AH293" s="5"/>
      <c r="AI293" s="37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3"/>
      <c r="BQ293" s="33"/>
    </row>
    <row r="294" ht="15.75" customHeight="1">
      <c r="B294" s="20" t="s">
        <v>362</v>
      </c>
      <c r="C294" s="122" t="s">
        <v>363</v>
      </c>
      <c r="D294" s="22">
        <f t="shared" si="25"/>
        <v>65.975</v>
      </c>
      <c r="E294" s="87">
        <v>6.0</v>
      </c>
      <c r="F294" s="87">
        <v>6.0</v>
      </c>
      <c r="G294" s="87">
        <v>6.0</v>
      </c>
      <c r="H294" s="87">
        <v>6.0</v>
      </c>
      <c r="I294" s="87">
        <v>6.0</v>
      </c>
      <c r="J294" s="87">
        <v>6.0</v>
      </c>
      <c r="K294" s="87">
        <v>6.0</v>
      </c>
      <c r="L294" s="87">
        <v>6.0</v>
      </c>
      <c r="M294" s="87">
        <v>6.0</v>
      </c>
      <c r="N294" s="87">
        <v>6.0</v>
      </c>
      <c r="O294" s="123">
        <v>5.335</v>
      </c>
      <c r="P294" s="123">
        <v>0.64</v>
      </c>
      <c r="Q294" s="87"/>
      <c r="R294" s="87"/>
      <c r="S294" s="87"/>
      <c r="T294" s="3"/>
      <c r="U294" s="3"/>
      <c r="V294" s="3"/>
      <c r="W294" s="44"/>
      <c r="X294" s="47"/>
      <c r="Y294" s="25"/>
      <c r="Z294" s="31"/>
      <c r="AA294" s="127"/>
      <c r="AB294" s="31"/>
      <c r="AC294" s="31"/>
      <c r="AD294" s="31"/>
      <c r="AE294" s="31"/>
      <c r="AF294" s="31"/>
      <c r="AG294" s="32"/>
      <c r="AH294" s="128"/>
      <c r="AI294" s="37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3"/>
      <c r="BQ294" s="33"/>
    </row>
    <row r="295" ht="15.75" customHeight="1">
      <c r="B295" s="81" t="s">
        <v>42</v>
      </c>
      <c r="C295" s="122" t="s">
        <v>364</v>
      </c>
      <c r="D295" s="22">
        <f t="shared" si="25"/>
        <v>48.7</v>
      </c>
      <c r="E295" s="87">
        <v>6.0</v>
      </c>
      <c r="F295" s="87">
        <v>6.0</v>
      </c>
      <c r="G295" s="87">
        <v>6.0</v>
      </c>
      <c r="H295" s="87">
        <v>6.0</v>
      </c>
      <c r="I295" s="87">
        <v>6.0</v>
      </c>
      <c r="J295" s="87">
        <v>6.0</v>
      </c>
      <c r="K295" s="123">
        <v>5.815</v>
      </c>
      <c r="L295" s="123">
        <v>2.657</v>
      </c>
      <c r="M295" s="123">
        <v>3.098</v>
      </c>
      <c r="N295" s="123">
        <v>1.13</v>
      </c>
      <c r="O295" s="123"/>
      <c r="P295" s="87"/>
      <c r="Q295" s="123"/>
      <c r="R295" s="123"/>
      <c r="S295" s="123"/>
      <c r="T295" s="123"/>
      <c r="U295" s="87"/>
      <c r="V295" s="87"/>
      <c r="W295" s="87"/>
      <c r="X295" s="87"/>
      <c r="Y295" s="87"/>
      <c r="Z295" s="54"/>
      <c r="AA295" s="87"/>
      <c r="AB295" s="54"/>
      <c r="AC295" s="87"/>
      <c r="AD295" s="31"/>
      <c r="AE295" s="31"/>
      <c r="AF295" s="31"/>
      <c r="AG295" s="31"/>
      <c r="AH295" s="36"/>
      <c r="AI295" s="37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3"/>
      <c r="BQ295" s="33"/>
    </row>
    <row r="296" ht="15.75" customHeight="1">
      <c r="B296" s="81" t="s">
        <v>7</v>
      </c>
      <c r="C296" s="122" t="s">
        <v>365</v>
      </c>
      <c r="D296" s="22">
        <f t="shared" si="25"/>
        <v>20.29</v>
      </c>
      <c r="E296" s="87">
        <v>6.0</v>
      </c>
      <c r="F296" s="87">
        <v>6.0</v>
      </c>
      <c r="G296" s="87">
        <v>6.0</v>
      </c>
      <c r="H296" s="87">
        <v>2.29</v>
      </c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31"/>
      <c r="W296" s="31"/>
      <c r="X296" s="31"/>
      <c r="Y296" s="31"/>
      <c r="Z296" s="129"/>
      <c r="AA296" s="31"/>
      <c r="AB296" s="31"/>
      <c r="AC296" s="31"/>
      <c r="AD296" s="31"/>
      <c r="AE296" s="31"/>
      <c r="AF296" s="31"/>
      <c r="AG296" s="31"/>
      <c r="AH296" s="36"/>
      <c r="AI296" s="37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3"/>
      <c r="BQ296" s="33"/>
    </row>
    <row r="297" ht="15.75" customHeight="1">
      <c r="B297" s="81" t="s">
        <v>44</v>
      </c>
      <c r="C297" s="122" t="s">
        <v>366</v>
      </c>
      <c r="D297" s="22">
        <f t="shared" si="25"/>
        <v>82.923</v>
      </c>
      <c r="E297" s="87">
        <v>6.0</v>
      </c>
      <c r="F297" s="87">
        <v>6.0</v>
      </c>
      <c r="G297" s="87">
        <v>6.0</v>
      </c>
      <c r="H297" s="87">
        <v>6.0</v>
      </c>
      <c r="I297" s="87">
        <v>6.0</v>
      </c>
      <c r="J297" s="87">
        <v>6.0</v>
      </c>
      <c r="K297" s="87">
        <v>6.0</v>
      </c>
      <c r="L297" s="87">
        <v>6.0</v>
      </c>
      <c r="M297" s="87">
        <v>6.0</v>
      </c>
      <c r="N297" s="87">
        <v>6.0</v>
      </c>
      <c r="O297" s="87">
        <v>6.0</v>
      </c>
      <c r="P297" s="87">
        <v>6.0</v>
      </c>
      <c r="Q297" s="87">
        <v>6.0</v>
      </c>
      <c r="R297" s="87">
        <v>2.62</v>
      </c>
      <c r="S297" s="87">
        <v>1.52</v>
      </c>
      <c r="T297" s="87">
        <v>0.783</v>
      </c>
      <c r="U297" s="87"/>
      <c r="V297" s="87"/>
      <c r="W297" s="87"/>
      <c r="X297" s="87"/>
      <c r="Y297" s="87"/>
      <c r="Z297" s="87"/>
      <c r="AA297" s="87"/>
      <c r="AB297" s="87"/>
      <c r="AC297" s="31"/>
      <c r="AD297" s="31"/>
      <c r="AE297" s="31"/>
      <c r="AF297" s="31"/>
      <c r="AG297" s="31"/>
      <c r="AH297" s="36"/>
      <c r="AI297" s="37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3"/>
      <c r="BQ297" s="33"/>
    </row>
    <row r="298" ht="15.75" customHeight="1">
      <c r="B298" s="81" t="s">
        <v>11</v>
      </c>
      <c r="C298" s="122" t="s">
        <v>367</v>
      </c>
      <c r="D298" s="22">
        <f t="shared" si="25"/>
        <v>0.97</v>
      </c>
      <c r="E298" s="123">
        <v>0.97</v>
      </c>
      <c r="F298" s="87"/>
      <c r="G298" s="87"/>
      <c r="H298" s="123"/>
      <c r="I298" s="87"/>
      <c r="J298" s="87"/>
      <c r="K298" s="87"/>
      <c r="L298" s="123"/>
      <c r="M298" s="123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130"/>
      <c r="AI298" s="81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3"/>
      <c r="BQ298" s="33"/>
    </row>
    <row r="299" ht="15.75" customHeight="1">
      <c r="B299" s="81" t="s">
        <v>368</v>
      </c>
      <c r="C299" s="122" t="s">
        <v>369</v>
      </c>
      <c r="D299" s="22">
        <f t="shared" si="25"/>
        <v>36</v>
      </c>
      <c r="E299" s="87">
        <v>6.0</v>
      </c>
      <c r="F299" s="131">
        <v>6.0</v>
      </c>
      <c r="G299" s="131">
        <v>6.0</v>
      </c>
      <c r="H299" s="131">
        <v>6.0</v>
      </c>
      <c r="I299" s="131">
        <v>6.0</v>
      </c>
      <c r="J299" s="131">
        <v>6.0</v>
      </c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132"/>
      <c r="AB299" s="132"/>
      <c r="AC299" s="132"/>
      <c r="AD299" s="132"/>
      <c r="AE299" s="132"/>
      <c r="AF299" s="132"/>
      <c r="AG299" s="132"/>
      <c r="AH299" s="133"/>
      <c r="AI299" s="37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3"/>
      <c r="BQ299" s="33"/>
    </row>
    <row r="300" ht="15.75" customHeight="1">
      <c r="B300" s="81" t="s">
        <v>370</v>
      </c>
      <c r="C300" s="122" t="s">
        <v>371</v>
      </c>
      <c r="D300" s="22">
        <f t="shared" si="25"/>
        <v>5.002</v>
      </c>
      <c r="E300" s="87">
        <v>2.502</v>
      </c>
      <c r="F300" s="123">
        <v>2.5</v>
      </c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132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3"/>
      <c r="AI300" s="37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3"/>
      <c r="BQ300" s="33"/>
    </row>
    <row r="301" ht="15.75" customHeight="1">
      <c r="B301" s="81" t="s">
        <v>372</v>
      </c>
      <c r="C301" s="122"/>
      <c r="D301" s="22">
        <f t="shared" si="25"/>
        <v>5.414</v>
      </c>
      <c r="E301" s="123">
        <v>5.414</v>
      </c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132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3"/>
      <c r="AI301" s="37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3"/>
      <c r="BQ301" s="33"/>
    </row>
    <row r="302" ht="15.75" customHeight="1">
      <c r="B302" s="81" t="s">
        <v>373</v>
      </c>
      <c r="C302" s="122" t="s">
        <v>374</v>
      </c>
      <c r="D302" s="22">
        <f t="shared" si="25"/>
        <v>6.452</v>
      </c>
      <c r="E302" s="87">
        <v>6.0</v>
      </c>
      <c r="F302" s="123">
        <v>0.452</v>
      </c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132"/>
      <c r="W302" s="132"/>
      <c r="X302" s="132"/>
      <c r="Y302" s="132"/>
      <c r="Z302" s="132"/>
      <c r="AA302" s="132"/>
      <c r="AB302" s="132"/>
      <c r="AC302" s="132"/>
      <c r="AD302" s="132"/>
      <c r="AE302" s="132"/>
      <c r="AF302" s="132"/>
      <c r="AG302" s="132"/>
      <c r="AH302" s="133"/>
      <c r="AI302" s="37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3"/>
      <c r="BQ302" s="33"/>
    </row>
    <row r="303" ht="15.75" customHeight="1">
      <c r="B303" s="81" t="s">
        <v>375</v>
      </c>
      <c r="C303" s="122" t="s">
        <v>376</v>
      </c>
      <c r="D303" s="22">
        <f t="shared" si="25"/>
        <v>8.398</v>
      </c>
      <c r="E303" s="87">
        <v>6.0</v>
      </c>
      <c r="F303" s="123">
        <v>2.398</v>
      </c>
      <c r="G303" s="87"/>
      <c r="H303" s="123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132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3"/>
      <c r="AI303" s="37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3"/>
      <c r="BQ303" s="33"/>
    </row>
    <row r="304" ht="15.75" customHeight="1">
      <c r="B304" s="20" t="s">
        <v>377</v>
      </c>
      <c r="C304" s="134" t="s">
        <v>378</v>
      </c>
      <c r="D304" s="22">
        <f t="shared" si="25"/>
        <v>11.611</v>
      </c>
      <c r="E304" s="87">
        <v>6.6</v>
      </c>
      <c r="F304" s="123">
        <v>3.931</v>
      </c>
      <c r="G304" s="87">
        <v>1.08</v>
      </c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132"/>
      <c r="W304" s="132"/>
      <c r="X304" s="132"/>
      <c r="Y304" s="132"/>
      <c r="Z304" s="132"/>
      <c r="AA304" s="132"/>
      <c r="AB304" s="132"/>
      <c r="AC304" s="132"/>
      <c r="AD304" s="132"/>
      <c r="AE304" s="132"/>
      <c r="AF304" s="132"/>
      <c r="AG304" s="132"/>
      <c r="AH304" s="133"/>
      <c r="AI304" s="37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3"/>
      <c r="BQ304" s="33"/>
    </row>
    <row r="305" ht="15.75" customHeight="1">
      <c r="B305" s="20"/>
      <c r="C305" s="29"/>
      <c r="D305" s="22"/>
      <c r="E305" s="87"/>
      <c r="F305" s="87"/>
      <c r="G305" s="5"/>
      <c r="H305" s="3"/>
      <c r="I305" s="81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132"/>
      <c r="W305" s="132"/>
      <c r="X305" s="132"/>
      <c r="Y305" s="132"/>
      <c r="Z305" s="132"/>
      <c r="AA305" s="132"/>
      <c r="AB305" s="132"/>
      <c r="AC305" s="132"/>
      <c r="AD305" s="132"/>
      <c r="AE305" s="132"/>
      <c r="AF305" s="132"/>
      <c r="AG305" s="132"/>
      <c r="AH305" s="133"/>
      <c r="AI305" s="37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3"/>
      <c r="BQ305" s="33"/>
    </row>
    <row r="306" ht="15.75" customHeight="1">
      <c r="B306" s="34" t="s">
        <v>379</v>
      </c>
      <c r="C306" s="29"/>
      <c r="D306" s="22"/>
      <c r="E306" s="87"/>
      <c r="F306" s="87"/>
      <c r="G306" s="135"/>
      <c r="H306" s="126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3"/>
      <c r="AI306" s="37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3"/>
      <c r="BQ306" s="33"/>
    </row>
    <row r="307" ht="15.75" customHeight="1">
      <c r="B307" s="81" t="s">
        <v>380</v>
      </c>
      <c r="C307" s="29" t="s">
        <v>381</v>
      </c>
      <c r="D307" s="22">
        <f t="shared" ref="D307:D317" si="26">SUM(E307:Z307)</f>
        <v>6</v>
      </c>
      <c r="E307" s="87">
        <v>6.0</v>
      </c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132"/>
      <c r="W307" s="132"/>
      <c r="X307" s="132"/>
      <c r="Y307" s="132"/>
      <c r="Z307" s="132"/>
      <c r="AA307" s="132"/>
      <c r="AB307" s="132"/>
      <c r="AC307" s="132"/>
      <c r="AD307" s="132"/>
      <c r="AE307" s="132"/>
      <c r="AF307" s="132"/>
      <c r="AG307" s="132"/>
      <c r="AH307" s="133"/>
      <c r="AI307" s="37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3"/>
      <c r="BQ307" s="33"/>
    </row>
    <row r="308" ht="15.75" customHeight="1">
      <c r="B308" s="20" t="s">
        <v>382</v>
      </c>
      <c r="C308" s="29" t="s">
        <v>169</v>
      </c>
      <c r="D308" s="22">
        <f t="shared" si="26"/>
        <v>20.342</v>
      </c>
      <c r="E308" s="87">
        <v>6.0</v>
      </c>
      <c r="F308" s="87">
        <v>6.0</v>
      </c>
      <c r="G308" s="87">
        <v>6.0</v>
      </c>
      <c r="H308" s="123">
        <v>2.342</v>
      </c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  <c r="AG308" s="132"/>
      <c r="AH308" s="133"/>
      <c r="AI308" s="37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3"/>
      <c r="BQ308" s="33"/>
    </row>
    <row r="309" ht="15.75" customHeight="1">
      <c r="B309" s="81" t="s">
        <v>53</v>
      </c>
      <c r="C309" s="29" t="s">
        <v>383</v>
      </c>
      <c r="D309" s="22">
        <f t="shared" si="26"/>
        <v>5.544</v>
      </c>
      <c r="E309" s="87">
        <v>4.556</v>
      </c>
      <c r="F309" s="87">
        <v>0.988</v>
      </c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132"/>
      <c r="W309" s="132"/>
      <c r="X309" s="132"/>
      <c r="Y309" s="132"/>
      <c r="Z309" s="132"/>
      <c r="AA309" s="132"/>
      <c r="AB309" s="132"/>
      <c r="AC309" s="132"/>
      <c r="AD309" s="132"/>
      <c r="AE309" s="132"/>
      <c r="AF309" s="132"/>
      <c r="AG309" s="132"/>
      <c r="AH309" s="133"/>
      <c r="AI309" s="37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3"/>
      <c r="BQ309" s="33"/>
    </row>
    <row r="310" ht="15.75" customHeight="1">
      <c r="B310" s="81" t="s">
        <v>384</v>
      </c>
      <c r="C310" s="29">
        <v>91.52</v>
      </c>
      <c r="D310" s="22">
        <f t="shared" si="26"/>
        <v>6.536</v>
      </c>
      <c r="E310" s="87">
        <v>5.189</v>
      </c>
      <c r="F310" s="123">
        <v>1.347</v>
      </c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132"/>
      <c r="W310" s="132"/>
      <c r="X310" s="132"/>
      <c r="Y310" s="132"/>
      <c r="Z310" s="132"/>
      <c r="AA310" s="132"/>
      <c r="AB310" s="132"/>
      <c r="AC310" s="132"/>
      <c r="AD310" s="132"/>
      <c r="AE310" s="132"/>
      <c r="AF310" s="132"/>
      <c r="AG310" s="132"/>
      <c r="AH310" s="133"/>
      <c r="AI310" s="37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3"/>
      <c r="BQ310" s="33"/>
    </row>
    <row r="311" ht="15.75" customHeight="1">
      <c r="B311" s="81" t="s">
        <v>385</v>
      </c>
      <c r="C311" s="29" t="s">
        <v>386</v>
      </c>
      <c r="D311" s="22">
        <f t="shared" si="26"/>
        <v>6.54</v>
      </c>
      <c r="E311" s="87">
        <v>6.0</v>
      </c>
      <c r="F311" s="87">
        <v>0.54</v>
      </c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3"/>
      <c r="AI311" s="37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3"/>
      <c r="BQ311" s="33"/>
    </row>
    <row r="312" ht="15.75" customHeight="1">
      <c r="B312" s="81" t="s">
        <v>55</v>
      </c>
      <c r="C312" s="29" t="s">
        <v>387</v>
      </c>
      <c r="D312" s="22">
        <f t="shared" si="26"/>
        <v>8.735</v>
      </c>
      <c r="E312" s="87">
        <v>6.0</v>
      </c>
      <c r="F312" s="87">
        <v>2.735</v>
      </c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132"/>
      <c r="W312" s="132"/>
      <c r="X312" s="132"/>
      <c r="Y312" s="132"/>
      <c r="Z312" s="132"/>
      <c r="AA312" s="132"/>
      <c r="AB312" s="132"/>
      <c r="AC312" s="132"/>
      <c r="AD312" s="132"/>
      <c r="AE312" s="132"/>
      <c r="AF312" s="132"/>
      <c r="AG312" s="132"/>
      <c r="AH312" s="133"/>
      <c r="AI312" s="37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3"/>
      <c r="BQ312" s="33"/>
    </row>
    <row r="313" ht="15.75" customHeight="1">
      <c r="B313" s="81" t="s">
        <v>388</v>
      </c>
      <c r="C313" s="29" t="s">
        <v>389</v>
      </c>
      <c r="D313" s="22">
        <f t="shared" si="26"/>
        <v>18</v>
      </c>
      <c r="E313" s="87">
        <v>6.0</v>
      </c>
      <c r="F313" s="87">
        <v>6.0</v>
      </c>
      <c r="G313" s="87">
        <v>6.0</v>
      </c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132"/>
      <c r="W313" s="132"/>
      <c r="X313" s="132"/>
      <c r="Y313" s="132"/>
      <c r="Z313" s="132"/>
      <c r="AA313" s="132"/>
      <c r="AB313" s="132"/>
      <c r="AC313" s="132"/>
      <c r="AD313" s="132"/>
      <c r="AE313" s="132"/>
      <c r="AF313" s="132"/>
      <c r="AG313" s="132"/>
      <c r="AH313" s="133"/>
      <c r="AI313" s="37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3"/>
      <c r="BQ313" s="33"/>
    </row>
    <row r="314" ht="15.75" customHeight="1">
      <c r="B314" s="81" t="s">
        <v>390</v>
      </c>
      <c r="C314" s="29"/>
      <c r="D314" s="22">
        <f t="shared" si="26"/>
        <v>3.83</v>
      </c>
      <c r="E314" s="87">
        <v>3.83</v>
      </c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132"/>
      <c r="W314" s="132"/>
      <c r="X314" s="132"/>
      <c r="Y314" s="132"/>
      <c r="Z314" s="132"/>
      <c r="AA314" s="132"/>
      <c r="AB314" s="132"/>
      <c r="AC314" s="132"/>
      <c r="AD314" s="132"/>
      <c r="AE314" s="132"/>
      <c r="AF314" s="132"/>
      <c r="AG314" s="132"/>
      <c r="AH314" s="133"/>
      <c r="AI314" s="37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3"/>
      <c r="BQ314" s="33"/>
    </row>
    <row r="315" ht="15.75" customHeight="1">
      <c r="B315" s="81" t="s">
        <v>391</v>
      </c>
      <c r="C315" s="29" t="s">
        <v>392</v>
      </c>
      <c r="D315" s="22">
        <f t="shared" si="26"/>
        <v>4.715</v>
      </c>
      <c r="E315" s="87">
        <v>4.715</v>
      </c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132"/>
      <c r="W315" s="132"/>
      <c r="X315" s="132"/>
      <c r="Y315" s="132"/>
      <c r="Z315" s="132"/>
      <c r="AA315" s="132"/>
      <c r="AB315" s="132"/>
      <c r="AC315" s="132"/>
      <c r="AD315" s="132"/>
      <c r="AE315" s="132"/>
      <c r="AF315" s="132"/>
      <c r="AG315" s="132"/>
      <c r="AH315" s="133"/>
      <c r="AI315" s="37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3"/>
      <c r="BQ315" s="33"/>
    </row>
    <row r="316" ht="15.75" customHeight="1">
      <c r="B316" s="81" t="s">
        <v>393</v>
      </c>
      <c r="C316" s="29" t="s">
        <v>394</v>
      </c>
      <c r="D316" s="22">
        <f t="shared" si="26"/>
        <v>1.025</v>
      </c>
      <c r="E316" s="87">
        <v>1.025</v>
      </c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132"/>
      <c r="W316" s="132"/>
      <c r="X316" s="132"/>
      <c r="Y316" s="132"/>
      <c r="Z316" s="132"/>
      <c r="AA316" s="132"/>
      <c r="AB316" s="132"/>
      <c r="AC316" s="132"/>
      <c r="AD316" s="132"/>
      <c r="AE316" s="132"/>
      <c r="AF316" s="132"/>
      <c r="AG316" s="132"/>
      <c r="AH316" s="133"/>
      <c r="AI316" s="37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3"/>
      <c r="BQ316" s="33"/>
    </row>
    <row r="317" ht="15.75" customHeight="1">
      <c r="B317" s="136" t="s">
        <v>395</v>
      </c>
      <c r="C317" s="29" t="s">
        <v>396</v>
      </c>
      <c r="D317" s="22">
        <f t="shared" si="26"/>
        <v>3.075</v>
      </c>
      <c r="E317" s="87">
        <v>1.755</v>
      </c>
      <c r="F317" s="87">
        <v>1.32</v>
      </c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132"/>
      <c r="W317" s="132"/>
      <c r="X317" s="132"/>
      <c r="Y317" s="132"/>
      <c r="Z317" s="132"/>
      <c r="AA317" s="132"/>
      <c r="AB317" s="132"/>
      <c r="AC317" s="132"/>
      <c r="AD317" s="132"/>
      <c r="AE317" s="132"/>
      <c r="AF317" s="132"/>
      <c r="AG317" s="132"/>
      <c r="AH317" s="133"/>
      <c r="AI317" s="37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3"/>
      <c r="BQ317" s="33"/>
    </row>
    <row r="318" ht="15.75" customHeight="1">
      <c r="B318" s="81"/>
      <c r="C318" s="29"/>
      <c r="D318" s="22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132"/>
      <c r="W318" s="132"/>
      <c r="X318" s="132"/>
      <c r="Y318" s="132"/>
      <c r="Z318" s="132"/>
      <c r="AA318" s="132"/>
      <c r="AB318" s="132"/>
      <c r="AC318" s="132"/>
      <c r="AD318" s="132"/>
      <c r="AE318" s="132"/>
      <c r="AF318" s="132"/>
      <c r="AG318" s="132"/>
      <c r="AH318" s="133"/>
      <c r="AI318" s="37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3"/>
      <c r="BQ318" s="33"/>
    </row>
    <row r="319" ht="15.75" customHeight="1">
      <c r="B319" s="34" t="s">
        <v>397</v>
      </c>
      <c r="C319" s="29"/>
      <c r="D319" s="22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132"/>
      <c r="W319" s="132"/>
      <c r="X319" s="132"/>
      <c r="Y319" s="132"/>
      <c r="Z319" s="132"/>
      <c r="AA319" s="132"/>
      <c r="AB319" s="132"/>
      <c r="AC319" s="132"/>
      <c r="AD319" s="132"/>
      <c r="AE319" s="132"/>
      <c r="AF319" s="132"/>
      <c r="AG319" s="132"/>
      <c r="AH319" s="133"/>
      <c r="AI319" s="37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3"/>
      <c r="BQ319" s="33"/>
    </row>
    <row r="320" ht="15.75" customHeight="1">
      <c r="B320" s="81" t="s">
        <v>398</v>
      </c>
      <c r="C320" s="29" t="s">
        <v>399</v>
      </c>
      <c r="D320" s="22">
        <f t="shared" ref="D320:D365" si="27">SUM(E320:Z320)</f>
        <v>50.225</v>
      </c>
      <c r="E320" s="87">
        <v>6.0</v>
      </c>
      <c r="F320" s="87">
        <v>6.0</v>
      </c>
      <c r="G320" s="87">
        <v>6.0</v>
      </c>
      <c r="H320" s="87">
        <v>6.0</v>
      </c>
      <c r="I320" s="87">
        <v>6.0</v>
      </c>
      <c r="J320" s="87">
        <v>6.0</v>
      </c>
      <c r="K320" s="87">
        <v>5.848</v>
      </c>
      <c r="L320" s="87">
        <v>5.627</v>
      </c>
      <c r="M320" s="87">
        <v>2.75</v>
      </c>
      <c r="N320" s="87"/>
      <c r="O320" s="87"/>
      <c r="P320" s="87"/>
      <c r="Q320" s="87"/>
      <c r="R320" s="87"/>
      <c r="S320" s="87"/>
      <c r="T320" s="87"/>
      <c r="U320" s="87"/>
      <c r="V320" s="132"/>
      <c r="W320" s="132"/>
      <c r="X320" s="132"/>
      <c r="Y320" s="132"/>
      <c r="Z320" s="132"/>
      <c r="AA320" s="132"/>
      <c r="AB320" s="132"/>
      <c r="AC320" s="132"/>
      <c r="AD320" s="132"/>
      <c r="AE320" s="132"/>
      <c r="AF320" s="132"/>
      <c r="AG320" s="132"/>
      <c r="AH320" s="133"/>
      <c r="AI320" s="37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3"/>
      <c r="BQ320" s="33"/>
    </row>
    <row r="321" ht="15.75" customHeight="1">
      <c r="B321" s="81" t="s">
        <v>400</v>
      </c>
      <c r="C321" s="29" t="s">
        <v>401</v>
      </c>
      <c r="D321" s="22">
        <f t="shared" si="27"/>
        <v>47.852</v>
      </c>
      <c r="E321" s="87">
        <v>6.0</v>
      </c>
      <c r="F321" s="87">
        <v>6.0</v>
      </c>
      <c r="G321" s="87">
        <v>6.0</v>
      </c>
      <c r="H321" s="87">
        <v>6.0</v>
      </c>
      <c r="I321" s="87">
        <v>6.0</v>
      </c>
      <c r="J321" s="87">
        <v>5.9</v>
      </c>
      <c r="K321" s="87">
        <v>5.6</v>
      </c>
      <c r="L321" s="87">
        <v>5.365</v>
      </c>
      <c r="M321" s="87">
        <v>0.708</v>
      </c>
      <c r="N321" s="87">
        <v>0.279</v>
      </c>
      <c r="O321" s="87"/>
      <c r="P321" s="87"/>
      <c r="Q321" s="87"/>
      <c r="R321" s="87"/>
      <c r="S321" s="87"/>
      <c r="T321" s="87"/>
      <c r="U321" s="87"/>
      <c r="V321" s="132"/>
      <c r="W321" s="132"/>
      <c r="X321" s="132"/>
      <c r="Y321" s="132"/>
      <c r="Z321" s="132"/>
      <c r="AA321" s="132"/>
      <c r="AB321" s="132"/>
      <c r="AC321" s="132"/>
      <c r="AD321" s="132"/>
      <c r="AE321" s="132"/>
      <c r="AF321" s="132"/>
      <c r="AG321" s="132"/>
      <c r="AH321" s="133"/>
      <c r="AI321" s="37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3"/>
      <c r="BQ321" s="33"/>
    </row>
    <row r="322" ht="15.75" customHeight="1">
      <c r="B322" s="81" t="s">
        <v>402</v>
      </c>
      <c r="C322" s="29" t="s">
        <v>403</v>
      </c>
      <c r="D322" s="22">
        <f t="shared" si="27"/>
        <v>19.3</v>
      </c>
      <c r="E322" s="87">
        <v>6.0</v>
      </c>
      <c r="F322" s="87">
        <v>5.597</v>
      </c>
      <c r="G322" s="87">
        <v>5.061</v>
      </c>
      <c r="H322" s="87">
        <v>1.989</v>
      </c>
      <c r="I322" s="87">
        <v>0.653</v>
      </c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3"/>
      <c r="AI322" s="37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3"/>
      <c r="BQ322" s="33"/>
    </row>
    <row r="323" ht="15.75" customHeight="1">
      <c r="B323" s="81" t="s">
        <v>27</v>
      </c>
      <c r="C323" s="29" t="s">
        <v>404</v>
      </c>
      <c r="D323" s="22">
        <f t="shared" si="27"/>
        <v>3.777</v>
      </c>
      <c r="E323" s="87">
        <v>2.463</v>
      </c>
      <c r="F323" s="123">
        <v>1.314</v>
      </c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132"/>
      <c r="W323" s="132"/>
      <c r="X323" s="132"/>
      <c r="Y323" s="132"/>
      <c r="Z323" s="132"/>
      <c r="AA323" s="132"/>
      <c r="AB323" s="132"/>
      <c r="AC323" s="132"/>
      <c r="AD323" s="132"/>
      <c r="AE323" s="132"/>
      <c r="AF323" s="132"/>
      <c r="AG323" s="132"/>
      <c r="AH323" s="133"/>
      <c r="AI323" s="37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3"/>
      <c r="BQ323" s="33"/>
    </row>
    <row r="324" ht="15.75" customHeight="1">
      <c r="B324" s="81" t="s">
        <v>405</v>
      </c>
      <c r="C324" s="29"/>
      <c r="D324" s="22">
        <f t="shared" si="27"/>
        <v>6</v>
      </c>
      <c r="E324" s="87">
        <v>6.0</v>
      </c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3"/>
      <c r="AI324" s="37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3"/>
      <c r="BQ324" s="33"/>
    </row>
    <row r="325" ht="15.75" customHeight="1">
      <c r="B325" s="81" t="s">
        <v>406</v>
      </c>
      <c r="C325" s="29" t="s">
        <v>407</v>
      </c>
      <c r="D325" s="22">
        <f t="shared" si="27"/>
        <v>26.494</v>
      </c>
      <c r="E325" s="87">
        <v>6.0</v>
      </c>
      <c r="F325" s="87">
        <v>6.0</v>
      </c>
      <c r="G325" s="87">
        <v>5.775</v>
      </c>
      <c r="H325" s="87">
        <v>5.655</v>
      </c>
      <c r="I325" s="87">
        <v>3.064</v>
      </c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132"/>
      <c r="W325" s="132"/>
      <c r="X325" s="132"/>
      <c r="Y325" s="132"/>
      <c r="Z325" s="132"/>
      <c r="AA325" s="132"/>
      <c r="AB325" s="132"/>
      <c r="AC325" s="132"/>
      <c r="AD325" s="132"/>
      <c r="AE325" s="132"/>
      <c r="AF325" s="132"/>
      <c r="AG325" s="132"/>
      <c r="AH325" s="133"/>
      <c r="AI325" s="37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3"/>
      <c r="BQ325" s="33"/>
    </row>
    <row r="326" ht="15.75" customHeight="1">
      <c r="B326" s="81" t="s">
        <v>186</v>
      </c>
      <c r="C326" s="29" t="s">
        <v>408</v>
      </c>
      <c r="D326" s="22">
        <f t="shared" si="27"/>
        <v>6</v>
      </c>
      <c r="E326" s="87">
        <v>6.0</v>
      </c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132"/>
      <c r="W326" s="132"/>
      <c r="X326" s="132"/>
      <c r="Y326" s="132"/>
      <c r="Z326" s="132"/>
      <c r="AA326" s="132"/>
      <c r="AB326" s="132"/>
      <c r="AC326" s="132"/>
      <c r="AD326" s="132"/>
      <c r="AE326" s="132"/>
      <c r="AF326" s="132"/>
      <c r="AG326" s="132"/>
      <c r="AH326" s="133"/>
      <c r="AI326" s="37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3"/>
      <c r="BQ326" s="33"/>
    </row>
    <row r="327" ht="15.75" customHeight="1">
      <c r="B327" s="81" t="s">
        <v>409</v>
      </c>
      <c r="C327" s="29" t="s">
        <v>410</v>
      </c>
      <c r="D327" s="22">
        <f t="shared" si="27"/>
        <v>8.109</v>
      </c>
      <c r="E327" s="87">
        <v>6.0</v>
      </c>
      <c r="F327" s="87">
        <v>2.109</v>
      </c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132"/>
      <c r="W327" s="132"/>
      <c r="X327" s="132"/>
      <c r="Y327" s="132"/>
      <c r="Z327" s="132"/>
      <c r="AA327" s="132"/>
      <c r="AB327" s="132"/>
      <c r="AC327" s="132"/>
      <c r="AD327" s="132"/>
      <c r="AE327" s="132"/>
      <c r="AF327" s="132"/>
      <c r="AG327" s="132"/>
      <c r="AH327" s="133"/>
      <c r="AI327" s="37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3"/>
      <c r="BQ327" s="33"/>
    </row>
    <row r="328" ht="15.75" customHeight="1">
      <c r="B328" s="81" t="s">
        <v>188</v>
      </c>
      <c r="C328" s="29" t="s">
        <v>265</v>
      </c>
      <c r="D328" s="22">
        <f t="shared" si="27"/>
        <v>38.219</v>
      </c>
      <c r="E328" s="87">
        <v>6.0</v>
      </c>
      <c r="F328" s="87">
        <v>6.0</v>
      </c>
      <c r="G328" s="87">
        <v>6.0</v>
      </c>
      <c r="H328" s="87">
        <v>6.0</v>
      </c>
      <c r="I328" s="87">
        <v>6.0</v>
      </c>
      <c r="J328" s="87">
        <v>6.0</v>
      </c>
      <c r="K328" s="123">
        <v>1.239</v>
      </c>
      <c r="L328" s="123">
        <v>0.98</v>
      </c>
      <c r="M328" s="87"/>
      <c r="N328" s="87"/>
      <c r="O328" s="87"/>
      <c r="P328" s="87"/>
      <c r="Q328" s="87"/>
      <c r="R328" s="87"/>
      <c r="S328" s="87"/>
      <c r="T328" s="87"/>
      <c r="U328" s="87"/>
      <c r="V328" s="132"/>
      <c r="W328" s="132"/>
      <c r="X328" s="132"/>
      <c r="Y328" s="132"/>
      <c r="Z328" s="132"/>
      <c r="AA328" s="132"/>
      <c r="AB328" s="132"/>
      <c r="AC328" s="132"/>
      <c r="AD328" s="132"/>
      <c r="AE328" s="132"/>
      <c r="AF328" s="132"/>
      <c r="AG328" s="132"/>
      <c r="AH328" s="133"/>
      <c r="AI328" s="37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3"/>
      <c r="BQ328" s="33"/>
    </row>
    <row r="329" ht="15.75" customHeight="1">
      <c r="B329" s="81" t="s">
        <v>190</v>
      </c>
      <c r="C329" s="29" t="s">
        <v>411</v>
      </c>
      <c r="D329" s="22">
        <f t="shared" si="27"/>
        <v>13.46</v>
      </c>
      <c r="E329" s="87">
        <v>6.0</v>
      </c>
      <c r="F329" s="87">
        <v>5.61</v>
      </c>
      <c r="G329" s="123">
        <v>1.85</v>
      </c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33"/>
      <c r="AI329" s="37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3"/>
      <c r="BQ329" s="33"/>
    </row>
    <row r="330" ht="15.75" customHeight="1">
      <c r="B330" s="81" t="s">
        <v>412</v>
      </c>
      <c r="C330" s="29" t="s">
        <v>413</v>
      </c>
      <c r="D330" s="22">
        <f t="shared" si="27"/>
        <v>16.43</v>
      </c>
      <c r="E330" s="87">
        <v>6.0</v>
      </c>
      <c r="F330" s="87">
        <v>6.0</v>
      </c>
      <c r="G330" s="87">
        <v>4.43</v>
      </c>
      <c r="H330" s="87"/>
      <c r="I330" s="5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132"/>
      <c r="W330" s="132"/>
      <c r="X330" s="132"/>
      <c r="Y330" s="132"/>
      <c r="Z330" s="132"/>
      <c r="AA330" s="132"/>
      <c r="AB330" s="132"/>
      <c r="AC330" s="132"/>
      <c r="AD330" s="132"/>
      <c r="AE330" s="132"/>
      <c r="AF330" s="132"/>
      <c r="AG330" s="132"/>
      <c r="AH330" s="133"/>
      <c r="AI330" s="37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3"/>
      <c r="BQ330" s="33"/>
    </row>
    <row r="331" ht="15.75" customHeight="1">
      <c r="B331" s="81" t="s">
        <v>414</v>
      </c>
      <c r="C331" s="29" t="s">
        <v>415</v>
      </c>
      <c r="D331" s="22">
        <f t="shared" si="27"/>
        <v>17.3</v>
      </c>
      <c r="E331" s="87">
        <v>6.0</v>
      </c>
      <c r="F331" s="87">
        <v>6.0</v>
      </c>
      <c r="G331" s="87">
        <v>5.3</v>
      </c>
      <c r="H331" s="87"/>
      <c r="I331" s="5"/>
      <c r="J331" s="81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132"/>
      <c r="W331" s="132"/>
      <c r="X331" s="132"/>
      <c r="Y331" s="132"/>
      <c r="Z331" s="132"/>
      <c r="AA331" s="132"/>
      <c r="AB331" s="132"/>
      <c r="AC331" s="132"/>
      <c r="AD331" s="132"/>
      <c r="AE331" s="132"/>
      <c r="AF331" s="132"/>
      <c r="AG331" s="132"/>
      <c r="AH331" s="133"/>
      <c r="AI331" s="37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3"/>
      <c r="BQ331" s="33"/>
    </row>
    <row r="332" ht="15.75" customHeight="1">
      <c r="B332" s="81" t="s">
        <v>416</v>
      </c>
      <c r="C332" s="29" t="s">
        <v>417</v>
      </c>
      <c r="D332" s="22">
        <f t="shared" si="27"/>
        <v>7.772</v>
      </c>
      <c r="E332" s="87">
        <v>6.0</v>
      </c>
      <c r="F332" s="87">
        <v>1.772</v>
      </c>
      <c r="G332" s="87"/>
      <c r="H332" s="87"/>
      <c r="I332" s="135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132"/>
      <c r="W332" s="132"/>
      <c r="X332" s="132"/>
      <c r="Y332" s="132"/>
      <c r="Z332" s="132"/>
      <c r="AA332" s="132"/>
      <c r="AB332" s="132"/>
      <c r="AC332" s="132"/>
      <c r="AD332" s="132"/>
      <c r="AE332" s="132"/>
      <c r="AF332" s="132"/>
      <c r="AG332" s="132"/>
      <c r="AH332" s="133"/>
      <c r="AI332" s="37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3"/>
      <c r="BQ332" s="33"/>
    </row>
    <row r="333" ht="15.75" customHeight="1">
      <c r="B333" s="81" t="s">
        <v>418</v>
      </c>
      <c r="C333" s="29" t="s">
        <v>419</v>
      </c>
      <c r="D333" s="22">
        <f t="shared" si="27"/>
        <v>7.746</v>
      </c>
      <c r="E333" s="87">
        <v>6.0</v>
      </c>
      <c r="F333" s="87">
        <v>1.746</v>
      </c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3"/>
      <c r="AI333" s="37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3"/>
      <c r="BQ333" s="33"/>
    </row>
    <row r="334" ht="15.75" customHeight="1">
      <c r="B334" s="81" t="s">
        <v>420</v>
      </c>
      <c r="C334" s="29" t="s">
        <v>421</v>
      </c>
      <c r="D334" s="22">
        <f t="shared" si="27"/>
        <v>17.832</v>
      </c>
      <c r="E334" s="87">
        <v>6.0</v>
      </c>
      <c r="F334" s="87">
        <v>6.0</v>
      </c>
      <c r="G334" s="123">
        <v>3.485</v>
      </c>
      <c r="H334" s="87">
        <v>0.942</v>
      </c>
      <c r="I334" s="87">
        <v>0.702</v>
      </c>
      <c r="J334" s="125">
        <v>0.703</v>
      </c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132"/>
      <c r="W334" s="132"/>
      <c r="X334" s="132"/>
      <c r="Y334" s="132"/>
      <c r="Z334" s="132"/>
      <c r="AA334" s="132"/>
      <c r="AB334" s="132"/>
      <c r="AC334" s="132"/>
      <c r="AD334" s="132"/>
      <c r="AE334" s="132"/>
      <c r="AF334" s="132"/>
      <c r="AG334" s="132"/>
      <c r="AH334" s="133"/>
      <c r="AI334" s="37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3"/>
      <c r="BQ334" s="33"/>
    </row>
    <row r="335" ht="15.75" customHeight="1">
      <c r="B335" s="81" t="s">
        <v>422</v>
      </c>
      <c r="C335" s="29" t="s">
        <v>423</v>
      </c>
      <c r="D335" s="22">
        <f t="shared" si="27"/>
        <v>25.06</v>
      </c>
      <c r="E335" s="87">
        <v>6.0</v>
      </c>
      <c r="F335" s="87">
        <v>6.0</v>
      </c>
      <c r="G335" s="87">
        <v>6.0</v>
      </c>
      <c r="H335" s="87">
        <v>6.0</v>
      </c>
      <c r="I335" s="123">
        <v>1.06</v>
      </c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132"/>
      <c r="W335" s="132"/>
      <c r="X335" s="132"/>
      <c r="Y335" s="132"/>
      <c r="Z335" s="132"/>
      <c r="AA335" s="132"/>
      <c r="AB335" s="132"/>
      <c r="AC335" s="132"/>
      <c r="AD335" s="132"/>
      <c r="AE335" s="132"/>
      <c r="AF335" s="132"/>
      <c r="AG335" s="132"/>
      <c r="AH335" s="133"/>
      <c r="AI335" s="37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3"/>
      <c r="BQ335" s="33"/>
    </row>
    <row r="336" ht="15.75" customHeight="1">
      <c r="B336" s="137" t="s">
        <v>192</v>
      </c>
      <c r="C336" s="29"/>
      <c r="D336" s="22">
        <f t="shared" si="27"/>
        <v>4.134</v>
      </c>
      <c r="E336" s="123">
        <v>4.134</v>
      </c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132"/>
      <c r="W336" s="132"/>
      <c r="X336" s="132"/>
      <c r="Y336" s="132"/>
      <c r="Z336" s="132"/>
      <c r="AA336" s="132"/>
      <c r="AB336" s="132"/>
      <c r="AC336" s="132"/>
      <c r="AD336" s="132"/>
      <c r="AE336" s="132"/>
      <c r="AF336" s="132"/>
      <c r="AG336" s="132"/>
      <c r="AH336" s="133"/>
      <c r="AI336" s="37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3"/>
      <c r="BQ336" s="33"/>
    </row>
    <row r="337" ht="15.75" customHeight="1">
      <c r="B337" s="81" t="s">
        <v>424</v>
      </c>
      <c r="C337" s="29" t="s">
        <v>425</v>
      </c>
      <c r="D337" s="22">
        <f t="shared" si="27"/>
        <v>11.253</v>
      </c>
      <c r="E337" s="87">
        <v>6.0</v>
      </c>
      <c r="F337" s="123">
        <v>5.253</v>
      </c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132"/>
      <c r="W337" s="132"/>
      <c r="X337" s="132"/>
      <c r="Y337" s="132"/>
      <c r="Z337" s="132"/>
      <c r="AA337" s="132"/>
      <c r="AB337" s="132"/>
      <c r="AC337" s="132"/>
      <c r="AD337" s="132"/>
      <c r="AE337" s="132"/>
      <c r="AF337" s="132"/>
      <c r="AG337" s="132"/>
      <c r="AH337" s="133"/>
      <c r="AI337" s="37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3"/>
      <c r="BQ337" s="33"/>
    </row>
    <row r="338" ht="15.75" customHeight="1">
      <c r="B338" s="81" t="s">
        <v>426</v>
      </c>
      <c r="C338" s="29" t="s">
        <v>427</v>
      </c>
      <c r="D338" s="22">
        <f t="shared" si="27"/>
        <v>16.088</v>
      </c>
      <c r="E338" s="87">
        <v>6.0</v>
      </c>
      <c r="F338" s="87">
        <v>4.84</v>
      </c>
      <c r="G338" s="87">
        <v>1.668</v>
      </c>
      <c r="H338" s="87">
        <v>3.58</v>
      </c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132"/>
      <c r="W338" s="132"/>
      <c r="X338" s="132"/>
      <c r="Y338" s="132"/>
      <c r="Z338" s="132"/>
      <c r="AA338" s="132"/>
      <c r="AB338" s="132"/>
      <c r="AC338" s="132"/>
      <c r="AD338" s="132"/>
      <c r="AE338" s="132"/>
      <c r="AF338" s="132"/>
      <c r="AG338" s="132"/>
      <c r="AH338" s="133"/>
      <c r="AI338" s="37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3"/>
      <c r="BQ338" s="33"/>
    </row>
    <row r="339" ht="15.75" customHeight="1">
      <c r="B339" s="81" t="s">
        <v>428</v>
      </c>
      <c r="C339" s="29">
        <v>88.03</v>
      </c>
      <c r="D339" s="22">
        <f t="shared" si="27"/>
        <v>11.39</v>
      </c>
      <c r="E339" s="87">
        <v>5.758</v>
      </c>
      <c r="F339" s="87">
        <v>4.302</v>
      </c>
      <c r="G339" s="87">
        <v>0.757</v>
      </c>
      <c r="H339" s="87">
        <v>0.573</v>
      </c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  <c r="AG339" s="132"/>
      <c r="AH339" s="133"/>
      <c r="AI339" s="37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3"/>
      <c r="BQ339" s="33"/>
    </row>
    <row r="340" ht="15.75" customHeight="1">
      <c r="B340" s="81" t="s">
        <v>429</v>
      </c>
      <c r="C340" s="29"/>
      <c r="D340" s="22">
        <f t="shared" si="27"/>
        <v>5.792</v>
      </c>
      <c r="E340" s="87">
        <v>5.792</v>
      </c>
      <c r="F340" s="87"/>
      <c r="G340" s="87"/>
      <c r="H340" s="87"/>
      <c r="I340" s="87"/>
      <c r="J340" s="87"/>
      <c r="K340" s="87"/>
      <c r="L340" s="87"/>
      <c r="M340" s="23"/>
      <c r="N340" s="87"/>
      <c r="O340" s="87"/>
      <c r="P340" s="87"/>
      <c r="Q340" s="87"/>
      <c r="R340" s="87"/>
      <c r="S340" s="87"/>
      <c r="T340" s="87"/>
      <c r="U340" s="87"/>
      <c r="V340" s="132"/>
      <c r="W340" s="132"/>
      <c r="X340" s="132"/>
      <c r="Y340" s="132"/>
      <c r="Z340" s="132"/>
      <c r="AA340" s="132"/>
      <c r="AB340" s="132"/>
      <c r="AC340" s="132"/>
      <c r="AD340" s="132"/>
      <c r="AE340" s="132"/>
      <c r="AF340" s="132"/>
      <c r="AG340" s="132"/>
      <c r="AH340" s="133"/>
      <c r="AI340" s="37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3"/>
      <c r="BQ340" s="33"/>
    </row>
    <row r="341" ht="15.75" customHeight="1">
      <c r="B341" s="81" t="s">
        <v>194</v>
      </c>
      <c r="C341" s="138" t="s">
        <v>430</v>
      </c>
      <c r="D341" s="22">
        <f t="shared" si="27"/>
        <v>10.516</v>
      </c>
      <c r="E341" s="87">
        <v>6.0</v>
      </c>
      <c r="F341" s="123">
        <v>3.945</v>
      </c>
      <c r="G341" s="87">
        <v>0.391</v>
      </c>
      <c r="H341" s="87">
        <v>0.18</v>
      </c>
      <c r="I341" s="87"/>
      <c r="J341" s="87"/>
      <c r="K341" s="87"/>
      <c r="L341" s="87"/>
      <c r="M341" s="31"/>
      <c r="N341" s="87"/>
      <c r="O341" s="87"/>
      <c r="P341" s="87"/>
      <c r="Q341" s="87"/>
      <c r="R341" s="87"/>
      <c r="S341" s="87"/>
      <c r="T341" s="87"/>
      <c r="U341" s="87"/>
      <c r="V341" s="132"/>
      <c r="W341" s="132"/>
      <c r="X341" s="132"/>
      <c r="Y341" s="132"/>
      <c r="Z341" s="132"/>
      <c r="AA341" s="132"/>
      <c r="AB341" s="132"/>
      <c r="AC341" s="132"/>
      <c r="AD341" s="132"/>
      <c r="AE341" s="132"/>
      <c r="AF341" s="132"/>
      <c r="AG341" s="132"/>
      <c r="AH341" s="133"/>
      <c r="AI341" s="37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3"/>
      <c r="BQ341" s="33"/>
    </row>
    <row r="342" ht="15.75" customHeight="1">
      <c r="B342" s="81" t="s">
        <v>35</v>
      </c>
      <c r="C342" s="121">
        <v>37.93</v>
      </c>
      <c r="D342" s="22">
        <f t="shared" si="27"/>
        <v>2.602</v>
      </c>
      <c r="E342" s="123">
        <v>2.602</v>
      </c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132"/>
      <c r="W342" s="132"/>
      <c r="X342" s="132"/>
      <c r="Y342" s="132"/>
      <c r="Z342" s="132"/>
      <c r="AA342" s="132"/>
      <c r="AB342" s="132"/>
      <c r="AC342" s="132"/>
      <c r="AD342" s="132"/>
      <c r="AE342" s="132"/>
      <c r="AF342" s="132"/>
      <c r="AG342" s="132"/>
      <c r="AH342" s="133"/>
      <c r="AI342" s="37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3"/>
      <c r="BQ342" s="33"/>
    </row>
    <row r="343" ht="15.75" customHeight="1">
      <c r="B343" s="81" t="s">
        <v>431</v>
      </c>
      <c r="C343" s="29" t="s">
        <v>432</v>
      </c>
      <c r="D343" s="22">
        <f t="shared" si="27"/>
        <v>7.377</v>
      </c>
      <c r="E343" s="87">
        <v>5.72</v>
      </c>
      <c r="F343" s="87">
        <v>1.316</v>
      </c>
      <c r="G343" s="87">
        <v>0.341</v>
      </c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132"/>
      <c r="W343" s="132"/>
      <c r="X343" s="132"/>
      <c r="Y343" s="132"/>
      <c r="Z343" s="132"/>
      <c r="AA343" s="132"/>
      <c r="AB343" s="132"/>
      <c r="AC343" s="132"/>
      <c r="AD343" s="132"/>
      <c r="AE343" s="132"/>
      <c r="AF343" s="132"/>
      <c r="AG343" s="132"/>
      <c r="AH343" s="133"/>
      <c r="AI343" s="37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3"/>
      <c r="BQ343" s="33"/>
    </row>
    <row r="344" ht="15.75" customHeight="1">
      <c r="B344" s="81" t="s">
        <v>433</v>
      </c>
      <c r="C344" s="29" t="s">
        <v>434</v>
      </c>
      <c r="D344" s="22">
        <f t="shared" si="27"/>
        <v>7.588</v>
      </c>
      <c r="E344" s="87">
        <v>6.0</v>
      </c>
      <c r="F344" s="87">
        <v>1.588</v>
      </c>
      <c r="G344" s="87"/>
      <c r="H344" s="87"/>
      <c r="I344" s="87"/>
      <c r="J344" s="87"/>
      <c r="K344" s="5"/>
      <c r="L344" s="5"/>
      <c r="M344" s="81"/>
      <c r="N344" s="87"/>
      <c r="O344" s="87"/>
      <c r="P344" s="87"/>
      <c r="Q344" s="87"/>
      <c r="R344" s="87"/>
      <c r="S344" s="87"/>
      <c r="T344" s="87"/>
      <c r="U344" s="87"/>
      <c r="V344" s="132"/>
      <c r="W344" s="132"/>
      <c r="X344" s="132"/>
      <c r="Y344" s="132"/>
      <c r="Z344" s="132"/>
      <c r="AA344" s="132"/>
      <c r="AB344" s="132"/>
      <c r="AC344" s="132"/>
      <c r="AD344" s="132"/>
      <c r="AE344" s="132"/>
      <c r="AF344" s="132"/>
      <c r="AG344" s="132"/>
      <c r="AH344" s="133"/>
      <c r="AI344" s="37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3"/>
      <c r="BQ344" s="33"/>
    </row>
    <row r="345" ht="15.75" customHeight="1">
      <c r="B345" s="81" t="s">
        <v>435</v>
      </c>
      <c r="C345" s="29" t="s">
        <v>436</v>
      </c>
      <c r="D345" s="22">
        <f t="shared" si="27"/>
        <v>4.285</v>
      </c>
      <c r="E345" s="87">
        <v>4.285</v>
      </c>
      <c r="F345" s="87"/>
      <c r="G345" s="87"/>
      <c r="H345" s="87"/>
      <c r="I345" s="87"/>
      <c r="J345" s="87"/>
      <c r="K345" s="135"/>
      <c r="L345" s="135"/>
      <c r="M345" s="87"/>
      <c r="N345" s="87"/>
      <c r="O345" s="87"/>
      <c r="P345" s="87"/>
      <c r="Q345" s="87"/>
      <c r="R345" s="87"/>
      <c r="S345" s="87"/>
      <c r="T345" s="87"/>
      <c r="U345" s="87"/>
      <c r="V345" s="132"/>
      <c r="W345" s="132"/>
      <c r="X345" s="132"/>
      <c r="Y345" s="132"/>
      <c r="Z345" s="132"/>
      <c r="AA345" s="132"/>
      <c r="AB345" s="132"/>
      <c r="AC345" s="132"/>
      <c r="AD345" s="132"/>
      <c r="AE345" s="132"/>
      <c r="AF345" s="132"/>
      <c r="AG345" s="132"/>
      <c r="AH345" s="133"/>
      <c r="AI345" s="37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3"/>
      <c r="BQ345" s="33"/>
    </row>
    <row r="346" ht="15.75" customHeight="1">
      <c r="B346" s="81" t="s">
        <v>437</v>
      </c>
      <c r="C346" s="29" t="s">
        <v>295</v>
      </c>
      <c r="D346" s="22">
        <f t="shared" si="27"/>
        <v>6.959</v>
      </c>
      <c r="E346" s="87">
        <v>6.0</v>
      </c>
      <c r="F346" s="87">
        <v>0.42</v>
      </c>
      <c r="G346" s="87">
        <v>0.3</v>
      </c>
      <c r="H346" s="87">
        <v>0.239</v>
      </c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132"/>
      <c r="W346" s="132"/>
      <c r="X346" s="132"/>
      <c r="Y346" s="132"/>
      <c r="Z346" s="132"/>
      <c r="AA346" s="132"/>
      <c r="AB346" s="132"/>
      <c r="AC346" s="132"/>
      <c r="AD346" s="132"/>
      <c r="AE346" s="132"/>
      <c r="AF346" s="132"/>
      <c r="AG346" s="132"/>
      <c r="AH346" s="133"/>
      <c r="AI346" s="37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3"/>
      <c r="BQ346" s="33"/>
    </row>
    <row r="347" ht="15.75" customHeight="1">
      <c r="B347" s="81" t="s">
        <v>438</v>
      </c>
      <c r="C347" s="29" t="s">
        <v>439</v>
      </c>
      <c r="D347" s="22">
        <f t="shared" si="27"/>
        <v>6.146</v>
      </c>
      <c r="E347" s="87">
        <v>6.0</v>
      </c>
      <c r="F347" s="87">
        <v>0.146</v>
      </c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132"/>
      <c r="W347" s="132"/>
      <c r="X347" s="132"/>
      <c r="Y347" s="132"/>
      <c r="Z347" s="132"/>
      <c r="AA347" s="132"/>
      <c r="AB347" s="132"/>
      <c r="AC347" s="132"/>
      <c r="AD347" s="132"/>
      <c r="AE347" s="132"/>
      <c r="AF347" s="132"/>
      <c r="AG347" s="132"/>
      <c r="AH347" s="133"/>
      <c r="AI347" s="37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3"/>
      <c r="BQ347" s="33"/>
    </row>
    <row r="348" ht="15.75" customHeight="1">
      <c r="B348" s="81" t="s">
        <v>440</v>
      </c>
      <c r="C348" s="29" t="s">
        <v>441</v>
      </c>
      <c r="D348" s="22">
        <f t="shared" si="27"/>
        <v>3.26</v>
      </c>
      <c r="E348" s="123">
        <v>2.866</v>
      </c>
      <c r="F348" s="87">
        <v>0.394</v>
      </c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132"/>
      <c r="W348" s="132"/>
      <c r="X348" s="132"/>
      <c r="Y348" s="132"/>
      <c r="Z348" s="132"/>
      <c r="AA348" s="132"/>
      <c r="AB348" s="132"/>
      <c r="AC348" s="132"/>
      <c r="AD348" s="132"/>
      <c r="AE348" s="132"/>
      <c r="AF348" s="132"/>
      <c r="AG348" s="132"/>
      <c r="AH348" s="133"/>
      <c r="AI348" s="37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3"/>
      <c r="BQ348" s="33"/>
    </row>
    <row r="349" ht="15.75" customHeight="1">
      <c r="B349" s="81" t="s">
        <v>442</v>
      </c>
      <c r="C349" s="29" t="s">
        <v>443</v>
      </c>
      <c r="D349" s="22">
        <f t="shared" si="27"/>
        <v>6.3</v>
      </c>
      <c r="E349" s="123">
        <v>4.195</v>
      </c>
      <c r="F349" s="87">
        <v>2.105</v>
      </c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132"/>
      <c r="W349" s="132"/>
      <c r="X349" s="132"/>
      <c r="Y349" s="132"/>
      <c r="Z349" s="132"/>
      <c r="AA349" s="132"/>
      <c r="AB349" s="132"/>
      <c r="AC349" s="132"/>
      <c r="AD349" s="132"/>
      <c r="AE349" s="132"/>
      <c r="AF349" s="132"/>
      <c r="AG349" s="132"/>
      <c r="AH349" s="133"/>
      <c r="AI349" s="37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3"/>
      <c r="BQ349" s="33"/>
    </row>
    <row r="350" ht="15.75" customHeight="1">
      <c r="B350" s="81" t="s">
        <v>444</v>
      </c>
      <c r="C350" s="41" t="s">
        <v>445</v>
      </c>
      <c r="D350" s="22">
        <f t="shared" si="27"/>
        <v>6.605</v>
      </c>
      <c r="E350" s="87">
        <v>6.0</v>
      </c>
      <c r="F350" s="123">
        <v>0.605</v>
      </c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132"/>
      <c r="W350" s="132"/>
      <c r="X350" s="132"/>
      <c r="Y350" s="132"/>
      <c r="Z350" s="132"/>
      <c r="AA350" s="132"/>
      <c r="AB350" s="132"/>
      <c r="AC350" s="132"/>
      <c r="AD350" s="132"/>
      <c r="AE350" s="132"/>
      <c r="AF350" s="132"/>
      <c r="AG350" s="132"/>
      <c r="AH350" s="133"/>
      <c r="AI350" s="37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3"/>
      <c r="BQ350" s="33"/>
    </row>
    <row r="351" ht="15.75" customHeight="1">
      <c r="B351" s="81" t="s">
        <v>446</v>
      </c>
      <c r="C351" s="29" t="s">
        <v>447</v>
      </c>
      <c r="D351" s="22">
        <f t="shared" si="27"/>
        <v>2.242</v>
      </c>
      <c r="E351" s="87">
        <v>2.242</v>
      </c>
      <c r="F351" s="126"/>
      <c r="G351" s="81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132"/>
      <c r="W351" s="132"/>
      <c r="X351" s="132"/>
      <c r="Y351" s="132"/>
      <c r="Z351" s="132"/>
      <c r="AA351" s="132"/>
      <c r="AB351" s="132"/>
      <c r="AC351" s="132"/>
      <c r="AD351" s="132"/>
      <c r="AE351" s="132"/>
      <c r="AF351" s="132"/>
      <c r="AG351" s="132"/>
      <c r="AH351" s="133"/>
      <c r="AI351" s="37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3"/>
      <c r="BQ351" s="33"/>
    </row>
    <row r="352" ht="15.75" customHeight="1">
      <c r="B352" s="81" t="s">
        <v>448</v>
      </c>
      <c r="C352" s="29" t="s">
        <v>449</v>
      </c>
      <c r="D352" s="22">
        <f t="shared" si="27"/>
        <v>13.217</v>
      </c>
      <c r="E352" s="135">
        <v>6.0</v>
      </c>
      <c r="F352" s="126">
        <v>6.0</v>
      </c>
      <c r="G352" s="87">
        <v>1.217</v>
      </c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132"/>
      <c r="W352" s="132"/>
      <c r="X352" s="132"/>
      <c r="Y352" s="132"/>
      <c r="Z352" s="132"/>
      <c r="AA352" s="132"/>
      <c r="AB352" s="132"/>
      <c r="AC352" s="132"/>
      <c r="AD352" s="132"/>
      <c r="AE352" s="132"/>
      <c r="AF352" s="132"/>
      <c r="AG352" s="132"/>
      <c r="AH352" s="133"/>
      <c r="AI352" s="37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3"/>
      <c r="BQ352" s="33"/>
    </row>
    <row r="353" ht="15.75" customHeight="1">
      <c r="B353" s="81" t="s">
        <v>450</v>
      </c>
      <c r="C353" s="29"/>
      <c r="D353" s="22">
        <f t="shared" si="27"/>
        <v>0</v>
      </c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132"/>
      <c r="W353" s="132"/>
      <c r="X353" s="132"/>
      <c r="Y353" s="132"/>
      <c r="Z353" s="132"/>
      <c r="AA353" s="132"/>
      <c r="AB353" s="132"/>
      <c r="AC353" s="132"/>
      <c r="AD353" s="132"/>
      <c r="AE353" s="132"/>
      <c r="AF353" s="132"/>
      <c r="AG353" s="132"/>
      <c r="AH353" s="133"/>
      <c r="AI353" s="37"/>
      <c r="AJ353" s="31"/>
      <c r="AK353" s="31"/>
      <c r="AL353" s="31"/>
      <c r="AM353" s="31"/>
      <c r="AN353" s="31"/>
      <c r="AO353" s="31"/>
      <c r="AP353" s="31"/>
      <c r="AQ353" s="31"/>
      <c r="AR353" s="87"/>
      <c r="AS353" s="87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3"/>
      <c r="BQ353" s="33"/>
    </row>
    <row r="354" ht="15.75" customHeight="1">
      <c r="B354" s="81" t="s">
        <v>451</v>
      </c>
      <c r="C354" s="29" t="s">
        <v>452</v>
      </c>
      <c r="D354" s="22">
        <f t="shared" si="27"/>
        <v>11.311</v>
      </c>
      <c r="E354" s="87">
        <v>5.3</v>
      </c>
      <c r="F354" s="123">
        <v>3.313</v>
      </c>
      <c r="G354" s="87">
        <v>2.698</v>
      </c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132"/>
      <c r="W354" s="132"/>
      <c r="X354" s="132"/>
      <c r="Y354" s="132"/>
      <c r="Z354" s="132"/>
      <c r="AA354" s="132"/>
      <c r="AB354" s="132"/>
      <c r="AC354" s="132"/>
      <c r="AD354" s="132"/>
      <c r="AE354" s="132"/>
      <c r="AF354" s="132"/>
      <c r="AG354" s="132"/>
      <c r="AH354" s="133"/>
      <c r="AI354" s="37"/>
      <c r="AJ354" s="31"/>
      <c r="AK354" s="31"/>
      <c r="AL354" s="31"/>
      <c r="AM354" s="31"/>
      <c r="AN354" s="31"/>
      <c r="AO354" s="31"/>
      <c r="AP354" s="31"/>
      <c r="AQ354" s="31"/>
      <c r="AR354" s="87"/>
      <c r="AS354" s="135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3"/>
      <c r="BQ354" s="33"/>
    </row>
    <row r="355" ht="15.75" customHeight="1">
      <c r="B355" s="81" t="s">
        <v>453</v>
      </c>
      <c r="C355" s="29" t="s">
        <v>454</v>
      </c>
      <c r="D355" s="22">
        <f t="shared" si="27"/>
        <v>6</v>
      </c>
      <c r="E355" s="87">
        <v>6.0</v>
      </c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132"/>
      <c r="W355" s="132"/>
      <c r="X355" s="132"/>
      <c r="Y355" s="132"/>
      <c r="Z355" s="132"/>
      <c r="AA355" s="132"/>
      <c r="AB355" s="132"/>
      <c r="AC355" s="132"/>
      <c r="AD355" s="132"/>
      <c r="AE355" s="132"/>
      <c r="AF355" s="132"/>
      <c r="AG355" s="132"/>
      <c r="AH355" s="133"/>
      <c r="AI355" s="37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3"/>
      <c r="BQ355" s="33"/>
    </row>
    <row r="356" ht="15.75" customHeight="1">
      <c r="B356" s="81" t="s">
        <v>455</v>
      </c>
      <c r="C356" s="29">
        <v>89.38</v>
      </c>
      <c r="D356" s="22">
        <f t="shared" si="27"/>
        <v>5.443</v>
      </c>
      <c r="E356" s="123">
        <v>3.323</v>
      </c>
      <c r="F356" s="123">
        <v>2.12</v>
      </c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132"/>
      <c r="W356" s="132"/>
      <c r="X356" s="132"/>
      <c r="Y356" s="132"/>
      <c r="Z356" s="132"/>
      <c r="AA356" s="132"/>
      <c r="AB356" s="132"/>
      <c r="AC356" s="132"/>
      <c r="AD356" s="132"/>
      <c r="AE356" s="132"/>
      <c r="AF356" s="132"/>
      <c r="AG356" s="132"/>
      <c r="AH356" s="133"/>
      <c r="AI356" s="37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3"/>
      <c r="BQ356" s="33"/>
    </row>
    <row r="357" ht="15.75" customHeight="1">
      <c r="B357" s="81" t="s">
        <v>456</v>
      </c>
      <c r="C357" s="29" t="s">
        <v>457</v>
      </c>
      <c r="D357" s="22">
        <f t="shared" si="27"/>
        <v>11.425</v>
      </c>
      <c r="E357" s="87">
        <v>6.0</v>
      </c>
      <c r="F357" s="123">
        <v>5.425</v>
      </c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132"/>
      <c r="W357" s="132"/>
      <c r="X357" s="132"/>
      <c r="Y357" s="132"/>
      <c r="Z357" s="132"/>
      <c r="AA357" s="132"/>
      <c r="AB357" s="132"/>
      <c r="AC357" s="132"/>
      <c r="AD357" s="132"/>
      <c r="AE357" s="132"/>
      <c r="AF357" s="132"/>
      <c r="AG357" s="132"/>
      <c r="AH357" s="133"/>
      <c r="AI357" s="37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3"/>
      <c r="BQ357" s="33"/>
    </row>
    <row r="358" ht="15.75" customHeight="1">
      <c r="B358" s="81" t="s">
        <v>458</v>
      </c>
      <c r="C358" s="29" t="s">
        <v>459</v>
      </c>
      <c r="D358" s="22">
        <f t="shared" si="27"/>
        <v>7.246</v>
      </c>
      <c r="E358" s="87">
        <v>6.0</v>
      </c>
      <c r="F358" s="123">
        <v>1.246</v>
      </c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132"/>
      <c r="W358" s="132"/>
      <c r="X358" s="132"/>
      <c r="Y358" s="132"/>
      <c r="Z358" s="132"/>
      <c r="AA358" s="132"/>
      <c r="AB358" s="132"/>
      <c r="AC358" s="132"/>
      <c r="AD358" s="132"/>
      <c r="AE358" s="132"/>
      <c r="AF358" s="132"/>
      <c r="AG358" s="132"/>
      <c r="AH358" s="133"/>
      <c r="AI358" s="37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3"/>
      <c r="BQ358" s="33"/>
    </row>
    <row r="359" ht="15.75" customHeight="1">
      <c r="B359" s="81" t="s">
        <v>460</v>
      </c>
      <c r="C359" s="29" t="s">
        <v>461</v>
      </c>
      <c r="D359" s="22">
        <f t="shared" si="27"/>
        <v>10.415</v>
      </c>
      <c r="E359" s="87">
        <v>6.0</v>
      </c>
      <c r="F359" s="87">
        <v>4.415</v>
      </c>
      <c r="G359" s="126"/>
      <c r="H359" s="126"/>
      <c r="I359" s="126"/>
      <c r="J359" s="126"/>
      <c r="K359" s="126"/>
      <c r="L359" s="126"/>
      <c r="M359" s="126" t="s">
        <v>462</v>
      </c>
      <c r="N359" s="126"/>
      <c r="O359" s="126" t="s">
        <v>463</v>
      </c>
      <c r="P359" s="126"/>
      <c r="Q359" s="126"/>
      <c r="R359" s="87"/>
      <c r="S359" s="87"/>
      <c r="T359" s="87"/>
      <c r="U359" s="87"/>
      <c r="V359" s="87"/>
      <c r="W359" s="87"/>
      <c r="X359" s="135"/>
      <c r="Y359" s="132"/>
      <c r="Z359" s="132"/>
      <c r="AA359" s="132"/>
      <c r="AB359" s="132"/>
      <c r="AC359" s="132"/>
      <c r="AD359" s="132"/>
      <c r="AE359" s="132"/>
      <c r="AF359" s="132"/>
      <c r="AG359" s="132"/>
      <c r="AH359" s="133"/>
      <c r="AI359" s="37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3"/>
      <c r="BQ359" s="33"/>
    </row>
    <row r="360" ht="15.75" customHeight="1">
      <c r="B360" s="81" t="s">
        <v>464</v>
      </c>
      <c r="C360" s="29" t="s">
        <v>465</v>
      </c>
      <c r="D360" s="22">
        <f t="shared" si="27"/>
        <v>7.12</v>
      </c>
      <c r="E360" s="87">
        <v>6.0</v>
      </c>
      <c r="F360" s="87">
        <v>1.12</v>
      </c>
      <c r="G360" s="126"/>
      <c r="H360" s="126"/>
      <c r="I360" s="126" t="s">
        <v>466</v>
      </c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39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3"/>
      <c r="AI360" s="37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3"/>
      <c r="BQ360" s="33"/>
    </row>
    <row r="361" ht="15.75" customHeight="1">
      <c r="B361" s="81" t="s">
        <v>467</v>
      </c>
      <c r="C361" s="29" t="s">
        <v>468</v>
      </c>
      <c r="D361" s="22">
        <f t="shared" si="27"/>
        <v>3.595</v>
      </c>
      <c r="E361" s="87">
        <v>3.35</v>
      </c>
      <c r="F361" s="140">
        <v>0.245</v>
      </c>
      <c r="G361" s="140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132"/>
      <c r="W361" s="132"/>
      <c r="X361" s="132"/>
      <c r="Y361" s="132"/>
      <c r="Z361" s="132"/>
      <c r="AA361" s="132"/>
      <c r="AB361" s="132"/>
      <c r="AC361" s="132"/>
      <c r="AD361" s="132"/>
      <c r="AE361" s="132"/>
      <c r="AF361" s="132"/>
      <c r="AG361" s="132"/>
      <c r="AH361" s="133"/>
      <c r="AI361" s="37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3"/>
      <c r="BQ361" s="33"/>
    </row>
    <row r="362" ht="15.75" customHeight="1">
      <c r="B362" s="81" t="s">
        <v>469</v>
      </c>
      <c r="C362" s="29" t="s">
        <v>470</v>
      </c>
      <c r="D362" s="22">
        <f t="shared" si="27"/>
        <v>5.068</v>
      </c>
      <c r="E362" s="87">
        <v>5.068</v>
      </c>
      <c r="F362" s="126"/>
      <c r="G362" s="126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132"/>
      <c r="W362" s="132"/>
      <c r="X362" s="132"/>
      <c r="Y362" s="132"/>
      <c r="Z362" s="132"/>
      <c r="AA362" s="132"/>
      <c r="AB362" s="132"/>
      <c r="AC362" s="132"/>
      <c r="AD362" s="132"/>
      <c r="AE362" s="132"/>
      <c r="AF362" s="132"/>
      <c r="AG362" s="132"/>
      <c r="AH362" s="133"/>
      <c r="AI362" s="37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3"/>
      <c r="BQ362" s="33"/>
    </row>
    <row r="363" ht="15.75" customHeight="1">
      <c r="B363" s="116" t="s">
        <v>471</v>
      </c>
      <c r="C363" s="118"/>
      <c r="D363" s="22">
        <f t="shared" si="27"/>
        <v>7.101</v>
      </c>
      <c r="E363" s="87">
        <v>3.725</v>
      </c>
      <c r="F363" s="87">
        <v>3.376</v>
      </c>
      <c r="G363" s="87"/>
      <c r="H363" s="87"/>
      <c r="I363" s="87"/>
      <c r="J363" s="87"/>
      <c r="K363" s="87"/>
      <c r="L363" s="87"/>
      <c r="M363" s="87"/>
      <c r="N363" s="87"/>
      <c r="O363" s="87" t="s">
        <v>472</v>
      </c>
      <c r="P363" s="87"/>
      <c r="Q363" s="87"/>
      <c r="R363" s="87"/>
      <c r="S363" s="87"/>
      <c r="T363" s="87"/>
      <c r="U363" s="87"/>
      <c r="V363" s="132"/>
      <c r="W363" s="132"/>
      <c r="X363" s="132"/>
      <c r="Y363" s="132"/>
      <c r="Z363" s="132"/>
      <c r="AA363" s="132"/>
      <c r="AB363" s="132"/>
      <c r="AC363" s="132"/>
      <c r="AD363" s="132"/>
      <c r="AE363" s="132"/>
      <c r="AF363" s="132"/>
      <c r="AG363" s="132"/>
      <c r="AH363" s="133"/>
      <c r="AI363" s="37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3"/>
      <c r="BQ363" s="33"/>
    </row>
    <row r="364" ht="15.75" customHeight="1">
      <c r="B364" s="116" t="s">
        <v>473</v>
      </c>
      <c r="C364" s="118"/>
      <c r="D364" s="22">
        <f t="shared" si="27"/>
        <v>4.522</v>
      </c>
      <c r="E364" s="87">
        <v>4.264</v>
      </c>
      <c r="F364" s="87">
        <v>0.258</v>
      </c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132"/>
      <c r="W364" s="132"/>
      <c r="X364" s="132"/>
      <c r="Y364" s="132"/>
      <c r="Z364" s="132"/>
      <c r="AA364" s="132"/>
      <c r="AB364" s="132"/>
      <c r="AC364" s="132"/>
      <c r="AD364" s="132"/>
      <c r="AE364" s="132"/>
      <c r="AF364" s="132"/>
      <c r="AG364" s="132"/>
      <c r="AH364" s="133"/>
      <c r="AI364" s="37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3"/>
      <c r="BQ364" s="33"/>
    </row>
    <row r="365" ht="15.75" customHeight="1">
      <c r="B365" s="116" t="s">
        <v>474</v>
      </c>
      <c r="C365" s="64"/>
      <c r="D365" s="22">
        <f t="shared" si="27"/>
        <v>4.805</v>
      </c>
      <c r="E365" s="87">
        <v>4.805</v>
      </c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/>
      <c r="AF365" s="132"/>
      <c r="AG365" s="132"/>
      <c r="AH365" s="133"/>
      <c r="AI365" s="37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3"/>
      <c r="BQ365" s="33"/>
    </row>
    <row r="366" ht="15.75" customHeight="1">
      <c r="B366" s="20"/>
      <c r="C366" s="64"/>
      <c r="D366" s="43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132"/>
      <c r="W366" s="132"/>
      <c r="X366" s="132"/>
      <c r="Y366" s="132"/>
      <c r="Z366" s="132"/>
      <c r="AA366" s="132"/>
      <c r="AB366" s="132"/>
      <c r="AC366" s="132"/>
      <c r="AD366" s="132"/>
      <c r="AE366" s="132"/>
      <c r="AF366" s="132"/>
      <c r="AG366" s="132"/>
      <c r="AH366" s="133"/>
      <c r="AI366" s="37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3"/>
      <c r="BQ366" s="33"/>
    </row>
    <row r="367" ht="15.75" customHeight="1">
      <c r="B367" s="34" t="s">
        <v>475</v>
      </c>
      <c r="C367" s="29"/>
      <c r="D367" s="22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132"/>
      <c r="W367" s="132"/>
      <c r="X367" s="132"/>
      <c r="Y367" s="132"/>
      <c r="Z367" s="132"/>
      <c r="AA367" s="132"/>
      <c r="AB367" s="132"/>
      <c r="AC367" s="132"/>
      <c r="AD367" s="132"/>
      <c r="AE367" s="132"/>
      <c r="AF367" s="132"/>
      <c r="AG367" s="132"/>
      <c r="AH367" s="133"/>
      <c r="AI367" s="37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3"/>
      <c r="BQ367" s="33"/>
    </row>
    <row r="368" ht="15.75" customHeight="1">
      <c r="B368" s="20" t="s">
        <v>138</v>
      </c>
      <c r="C368" s="41">
        <v>19.71</v>
      </c>
      <c r="D368" s="22">
        <f t="shared" ref="D368:D372" si="28">SUM(E368:Z368)</f>
        <v>11.978</v>
      </c>
      <c r="E368" s="123">
        <v>5.135</v>
      </c>
      <c r="F368" s="123">
        <v>3.745</v>
      </c>
      <c r="G368" s="87">
        <v>3.098</v>
      </c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132"/>
      <c r="W368" s="132"/>
      <c r="X368" s="132"/>
      <c r="Y368" s="132"/>
      <c r="Z368" s="132"/>
      <c r="AA368" s="132"/>
      <c r="AB368" s="132"/>
      <c r="AC368" s="132"/>
      <c r="AD368" s="132"/>
      <c r="AE368" s="132"/>
      <c r="AF368" s="132"/>
      <c r="AG368" s="132"/>
      <c r="AH368" s="133"/>
      <c r="AI368" s="37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3"/>
      <c r="BQ368" s="33"/>
    </row>
    <row r="369" ht="15.75" customHeight="1">
      <c r="B369" s="81" t="s">
        <v>139</v>
      </c>
      <c r="C369" s="64" t="s">
        <v>476</v>
      </c>
      <c r="D369" s="22">
        <f t="shared" si="28"/>
        <v>5.182</v>
      </c>
      <c r="E369" s="87">
        <v>4.141</v>
      </c>
      <c r="F369" s="87">
        <v>1.041</v>
      </c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132"/>
      <c r="W369" s="132"/>
      <c r="X369" s="132"/>
      <c r="Y369" s="132"/>
      <c r="Z369" s="132"/>
      <c r="AA369" s="132"/>
      <c r="AB369" s="132"/>
      <c r="AC369" s="132"/>
      <c r="AD369" s="132"/>
      <c r="AE369" s="132"/>
      <c r="AF369" s="132"/>
      <c r="AG369" s="132"/>
      <c r="AH369" s="133"/>
      <c r="AI369" s="37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3"/>
      <c r="BQ369" s="33"/>
    </row>
    <row r="370" ht="15.75" customHeight="1">
      <c r="B370" s="20" t="s">
        <v>140</v>
      </c>
      <c r="C370" s="79" t="s">
        <v>477</v>
      </c>
      <c r="D370" s="22">
        <f t="shared" si="28"/>
        <v>10.043</v>
      </c>
      <c r="E370" s="87">
        <v>6.0</v>
      </c>
      <c r="F370" s="87">
        <v>4.043</v>
      </c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132"/>
      <c r="W370" s="132"/>
      <c r="X370" s="132"/>
      <c r="Y370" s="132"/>
      <c r="Z370" s="132"/>
      <c r="AA370" s="132"/>
      <c r="AB370" s="132"/>
      <c r="AC370" s="132"/>
      <c r="AD370" s="132"/>
      <c r="AE370" s="132"/>
      <c r="AF370" s="132"/>
      <c r="AG370" s="132"/>
      <c r="AH370" s="133"/>
      <c r="AI370" s="37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3"/>
      <c r="BQ370" s="33"/>
    </row>
    <row r="371" ht="15.75" customHeight="1">
      <c r="B371" s="20" t="s">
        <v>142</v>
      </c>
      <c r="C371" s="29" t="s">
        <v>478</v>
      </c>
      <c r="D371" s="22">
        <f t="shared" si="28"/>
        <v>0</v>
      </c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132"/>
      <c r="W371" s="132"/>
      <c r="X371" s="132"/>
      <c r="Y371" s="132"/>
      <c r="Z371" s="132"/>
      <c r="AA371" s="132"/>
      <c r="AB371" s="132"/>
      <c r="AC371" s="132"/>
      <c r="AD371" s="132"/>
      <c r="AE371" s="132"/>
      <c r="AF371" s="132"/>
      <c r="AG371" s="132"/>
      <c r="AH371" s="133"/>
      <c r="AI371" s="37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3"/>
      <c r="BQ371" s="33"/>
    </row>
    <row r="372" ht="15.75" customHeight="1">
      <c r="B372" s="81" t="s">
        <v>479</v>
      </c>
      <c r="C372" s="29"/>
      <c r="D372" s="22">
        <f t="shared" si="28"/>
        <v>4.66</v>
      </c>
      <c r="E372" s="87">
        <v>4.66</v>
      </c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132"/>
      <c r="W372" s="132"/>
      <c r="X372" s="132"/>
      <c r="Y372" s="132"/>
      <c r="Z372" s="132"/>
      <c r="AA372" s="132"/>
      <c r="AB372" s="132"/>
      <c r="AC372" s="132"/>
      <c r="AD372" s="132"/>
      <c r="AE372" s="132"/>
      <c r="AF372" s="132"/>
      <c r="AG372" s="132"/>
      <c r="AH372" s="133"/>
      <c r="AI372" s="37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3"/>
      <c r="BQ372" s="33"/>
    </row>
    <row r="373" ht="15.75" customHeight="1">
      <c r="B373" s="81"/>
      <c r="C373" s="29"/>
      <c r="D373" s="22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132"/>
      <c r="W373" s="132"/>
      <c r="X373" s="132"/>
      <c r="Y373" s="132"/>
      <c r="Z373" s="132"/>
      <c r="AA373" s="132"/>
      <c r="AB373" s="132"/>
      <c r="AC373" s="132"/>
      <c r="AD373" s="132"/>
      <c r="AE373" s="132"/>
      <c r="AF373" s="132"/>
      <c r="AG373" s="132"/>
      <c r="AH373" s="133"/>
      <c r="AI373" s="37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3"/>
      <c r="BQ373" s="33"/>
    </row>
    <row r="374" ht="15.75" customHeight="1">
      <c r="B374" s="34" t="s">
        <v>480</v>
      </c>
      <c r="C374" s="29"/>
      <c r="D374" s="22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132"/>
      <c r="W374" s="132"/>
      <c r="X374" s="132"/>
      <c r="Y374" s="132"/>
      <c r="Z374" s="132"/>
      <c r="AA374" s="132"/>
      <c r="AB374" s="132"/>
      <c r="AC374" s="132"/>
      <c r="AD374" s="132"/>
      <c r="AE374" s="132"/>
      <c r="AF374" s="132"/>
      <c r="AG374" s="132"/>
      <c r="AH374" s="133"/>
      <c r="AI374" s="37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3"/>
      <c r="BQ374" s="33"/>
    </row>
    <row r="375" ht="15.75" customHeight="1">
      <c r="B375" s="20" t="s">
        <v>481</v>
      </c>
      <c r="C375" s="29" t="s">
        <v>482</v>
      </c>
      <c r="D375" s="22">
        <f t="shared" ref="D375:D379" si="29">SUM(E375:Z375)</f>
        <v>1.824</v>
      </c>
      <c r="E375" s="87">
        <v>1.824</v>
      </c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132"/>
      <c r="W375" s="132"/>
      <c r="X375" s="132"/>
      <c r="Y375" s="132"/>
      <c r="Z375" s="132"/>
      <c r="AA375" s="132"/>
      <c r="AB375" s="132"/>
      <c r="AC375" s="132"/>
      <c r="AD375" s="132"/>
      <c r="AE375" s="132"/>
      <c r="AF375" s="132"/>
      <c r="AG375" s="132"/>
      <c r="AH375" s="133"/>
      <c r="AI375" s="37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3"/>
      <c r="BQ375" s="33"/>
    </row>
    <row r="376" ht="15.75" customHeight="1">
      <c r="B376" s="20" t="s">
        <v>142</v>
      </c>
      <c r="C376" s="79"/>
      <c r="D376" s="22">
        <f t="shared" si="29"/>
        <v>3.287</v>
      </c>
      <c r="E376" s="87">
        <v>1.913</v>
      </c>
      <c r="F376" s="123">
        <v>1.374</v>
      </c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132"/>
      <c r="W376" s="132"/>
      <c r="X376" s="132"/>
      <c r="Y376" s="132"/>
      <c r="Z376" s="132"/>
      <c r="AA376" s="132"/>
      <c r="AB376" s="132"/>
      <c r="AC376" s="132"/>
      <c r="AD376" s="132"/>
      <c r="AE376" s="132"/>
      <c r="AF376" s="132"/>
      <c r="AG376" s="132"/>
      <c r="AH376" s="133"/>
      <c r="AI376" s="37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3"/>
      <c r="BQ376" s="33"/>
    </row>
    <row r="377" ht="15.75" customHeight="1">
      <c r="B377" s="20" t="s">
        <v>143</v>
      </c>
      <c r="C377" s="29" t="s">
        <v>483</v>
      </c>
      <c r="D377" s="22">
        <f t="shared" si="29"/>
        <v>4.467</v>
      </c>
      <c r="E377" s="87">
        <v>3.27</v>
      </c>
      <c r="F377" s="87">
        <v>1.197</v>
      </c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132"/>
      <c r="W377" s="132"/>
      <c r="X377" s="132"/>
      <c r="Y377" s="132"/>
      <c r="Z377" s="132"/>
      <c r="AA377" s="132"/>
      <c r="AB377" s="132"/>
      <c r="AC377" s="132"/>
      <c r="AD377" s="132"/>
      <c r="AE377" s="132"/>
      <c r="AF377" s="132"/>
      <c r="AG377" s="132"/>
      <c r="AH377" s="133"/>
      <c r="AI377" s="37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3"/>
      <c r="BQ377" s="33"/>
    </row>
    <row r="378" ht="15.75" customHeight="1">
      <c r="B378" s="20" t="s">
        <v>479</v>
      </c>
      <c r="C378" s="41">
        <v>943.5</v>
      </c>
      <c r="D378" s="22">
        <f t="shared" si="29"/>
        <v>4.315</v>
      </c>
      <c r="E378" s="123">
        <v>3.0</v>
      </c>
      <c r="F378" s="87">
        <v>1.315</v>
      </c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132"/>
      <c r="W378" s="132"/>
      <c r="X378" s="132"/>
      <c r="Y378" s="132"/>
      <c r="Z378" s="132"/>
      <c r="AA378" s="132"/>
      <c r="AB378" s="132"/>
      <c r="AC378" s="132"/>
      <c r="AD378" s="132"/>
      <c r="AE378" s="132"/>
      <c r="AF378" s="132"/>
      <c r="AG378" s="132"/>
      <c r="AH378" s="133"/>
      <c r="AI378" s="37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3"/>
      <c r="BQ378" s="33"/>
    </row>
    <row r="379" ht="15.75" customHeight="1">
      <c r="B379" s="20" t="s">
        <v>484</v>
      </c>
      <c r="C379" s="41" t="s">
        <v>485</v>
      </c>
      <c r="D379" s="22">
        <f t="shared" si="29"/>
        <v>3</v>
      </c>
      <c r="E379" s="123">
        <v>3.0</v>
      </c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132"/>
      <c r="W379" s="132"/>
      <c r="X379" s="132"/>
      <c r="Y379" s="132"/>
      <c r="Z379" s="132"/>
      <c r="AA379" s="132"/>
      <c r="AB379" s="132"/>
      <c r="AC379" s="132"/>
      <c r="AD379" s="132"/>
      <c r="AE379" s="132"/>
      <c r="AF379" s="132"/>
      <c r="AG379" s="132"/>
      <c r="AH379" s="133"/>
      <c r="AI379" s="37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3"/>
      <c r="BQ379" s="33"/>
    </row>
    <row r="380" ht="15.75" customHeight="1">
      <c r="B380" s="20"/>
      <c r="C380" s="29"/>
      <c r="D380" s="22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132"/>
      <c r="W380" s="132"/>
      <c r="X380" s="132"/>
      <c r="Y380" s="132"/>
      <c r="Z380" s="132"/>
      <c r="AA380" s="132"/>
      <c r="AB380" s="132"/>
      <c r="AC380" s="132"/>
      <c r="AD380" s="132"/>
      <c r="AE380" s="132"/>
      <c r="AF380" s="132"/>
      <c r="AG380" s="132"/>
      <c r="AH380" s="133"/>
      <c r="AI380" s="37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3"/>
      <c r="BQ380" s="33"/>
    </row>
    <row r="381" ht="15.75" customHeight="1">
      <c r="B381" s="34" t="s">
        <v>486</v>
      </c>
      <c r="C381" s="42"/>
      <c r="D381" s="22">
        <f t="shared" ref="D381:D394" si="30">SUM(E381:Z381)</f>
        <v>0</v>
      </c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132"/>
      <c r="W381" s="132"/>
      <c r="X381" s="132"/>
      <c r="Y381" s="132"/>
      <c r="Z381" s="132"/>
      <c r="AA381" s="132"/>
      <c r="AB381" s="132"/>
      <c r="AC381" s="132"/>
      <c r="AD381" s="132"/>
      <c r="AE381" s="132"/>
      <c r="AF381" s="132"/>
      <c r="AG381" s="132"/>
      <c r="AH381" s="133"/>
      <c r="AI381" s="37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3"/>
      <c r="BQ381" s="33"/>
    </row>
    <row r="382" ht="15.75" customHeight="1">
      <c r="B382" s="81" t="s">
        <v>487</v>
      </c>
      <c r="C382" s="42"/>
      <c r="D382" s="22">
        <f t="shared" si="30"/>
        <v>1.774</v>
      </c>
      <c r="E382" s="87">
        <v>1.774</v>
      </c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33"/>
      <c r="AI382" s="37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3"/>
      <c r="BQ382" s="33"/>
    </row>
    <row r="383" ht="15.75" customHeight="1">
      <c r="B383" s="81" t="s">
        <v>488</v>
      </c>
      <c r="C383" s="141"/>
      <c r="D383" s="22">
        <f t="shared" si="30"/>
        <v>5.28</v>
      </c>
      <c r="E383" s="87">
        <v>5.28</v>
      </c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132"/>
      <c r="W383" s="132"/>
      <c r="X383" s="132"/>
      <c r="Y383" s="132"/>
      <c r="Z383" s="132"/>
      <c r="AA383" s="132"/>
      <c r="AB383" s="132"/>
      <c r="AC383" s="132"/>
      <c r="AD383" s="132"/>
      <c r="AE383" s="132"/>
      <c r="AF383" s="132"/>
      <c r="AG383" s="132"/>
      <c r="AH383" s="133"/>
      <c r="AI383" s="37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3"/>
      <c r="BQ383" s="33"/>
    </row>
    <row r="384" ht="15.75" customHeight="1">
      <c r="B384" s="81" t="s">
        <v>489</v>
      </c>
      <c r="C384" s="141"/>
      <c r="D384" s="22">
        <f t="shared" si="30"/>
        <v>4.61</v>
      </c>
      <c r="E384" s="87">
        <v>4.61</v>
      </c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132"/>
      <c r="W384" s="132"/>
      <c r="X384" s="132"/>
      <c r="Y384" s="132"/>
      <c r="Z384" s="132"/>
      <c r="AA384" s="132"/>
      <c r="AB384" s="132"/>
      <c r="AC384" s="132"/>
      <c r="AD384" s="132"/>
      <c r="AE384" s="132"/>
      <c r="AF384" s="132"/>
      <c r="AG384" s="132"/>
      <c r="AH384" s="133"/>
      <c r="AI384" s="37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3"/>
      <c r="BQ384" s="33"/>
    </row>
    <row r="385" ht="15.75" customHeight="1">
      <c r="B385" s="81" t="s">
        <v>490</v>
      </c>
      <c r="C385" s="141"/>
      <c r="D385" s="22">
        <f t="shared" si="30"/>
        <v>4.479</v>
      </c>
      <c r="E385" s="87">
        <v>2.314</v>
      </c>
      <c r="F385" s="87">
        <v>2.165</v>
      </c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132"/>
      <c r="W385" s="132"/>
      <c r="X385" s="132"/>
      <c r="Y385" s="132"/>
      <c r="Z385" s="132"/>
      <c r="AA385" s="132"/>
      <c r="AB385" s="132"/>
      <c r="AC385" s="132"/>
      <c r="AD385" s="132"/>
      <c r="AE385" s="132"/>
      <c r="AF385" s="132"/>
      <c r="AG385" s="132"/>
      <c r="AH385" s="133"/>
      <c r="AI385" s="37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3"/>
      <c r="BQ385" s="33"/>
    </row>
    <row r="386" ht="15.75" customHeight="1">
      <c r="B386" s="81" t="s">
        <v>491</v>
      </c>
      <c r="C386" s="42"/>
      <c r="D386" s="22">
        <f t="shared" si="30"/>
        <v>6</v>
      </c>
      <c r="E386" s="87">
        <v>6.0</v>
      </c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132"/>
      <c r="W386" s="132"/>
      <c r="X386" s="132"/>
      <c r="Y386" s="132"/>
      <c r="Z386" s="132"/>
      <c r="AA386" s="132"/>
      <c r="AB386" s="132"/>
      <c r="AC386" s="132"/>
      <c r="AD386" s="132"/>
      <c r="AE386" s="132"/>
      <c r="AF386" s="132"/>
      <c r="AG386" s="132"/>
      <c r="AH386" s="133"/>
      <c r="AI386" s="37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3"/>
      <c r="BQ386" s="33"/>
    </row>
    <row r="387" ht="15.75" customHeight="1">
      <c r="B387" s="81" t="s">
        <v>492</v>
      </c>
      <c r="C387" s="42"/>
      <c r="D387" s="22">
        <f t="shared" si="30"/>
        <v>0.655</v>
      </c>
      <c r="E387" s="87">
        <v>0.655</v>
      </c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132"/>
      <c r="W387" s="132"/>
      <c r="X387" s="132"/>
      <c r="Y387" s="132"/>
      <c r="Z387" s="132"/>
      <c r="AA387" s="132"/>
      <c r="AB387" s="132"/>
      <c r="AC387" s="132"/>
      <c r="AD387" s="132"/>
      <c r="AE387" s="132"/>
      <c r="AF387" s="132"/>
      <c r="AG387" s="132"/>
      <c r="AH387" s="133"/>
      <c r="AI387" s="37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3"/>
      <c r="BQ387" s="33"/>
    </row>
    <row r="388" ht="15.75" customHeight="1">
      <c r="B388" s="81" t="s">
        <v>493</v>
      </c>
      <c r="C388" s="42"/>
      <c r="D388" s="22">
        <f t="shared" si="30"/>
        <v>2.093</v>
      </c>
      <c r="E388" s="87">
        <v>1.2</v>
      </c>
      <c r="F388" s="87">
        <v>0.893</v>
      </c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132"/>
      <c r="W388" s="132"/>
      <c r="X388" s="132"/>
      <c r="Y388" s="132"/>
      <c r="Z388" s="132"/>
      <c r="AA388" s="132"/>
      <c r="AB388" s="132"/>
      <c r="AC388" s="132"/>
      <c r="AD388" s="132"/>
      <c r="AE388" s="132"/>
      <c r="AF388" s="132"/>
      <c r="AG388" s="132"/>
      <c r="AH388" s="133"/>
      <c r="AI388" s="37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3"/>
      <c r="BQ388" s="33"/>
    </row>
    <row r="389" ht="15.75" customHeight="1">
      <c r="B389" s="81" t="s">
        <v>494</v>
      </c>
      <c r="C389" s="92"/>
      <c r="D389" s="22">
        <f t="shared" si="30"/>
        <v>7.754</v>
      </c>
      <c r="E389" s="87">
        <v>2.44</v>
      </c>
      <c r="F389" s="87">
        <v>1.875</v>
      </c>
      <c r="G389" s="87">
        <v>1.45</v>
      </c>
      <c r="H389" s="87">
        <v>1.194</v>
      </c>
      <c r="I389" s="87">
        <v>0.795</v>
      </c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132"/>
      <c r="W389" s="132"/>
      <c r="X389" s="132"/>
      <c r="Y389" s="132"/>
      <c r="Z389" s="132"/>
      <c r="AA389" s="132"/>
      <c r="AB389" s="132"/>
      <c r="AC389" s="132"/>
      <c r="AD389" s="132"/>
      <c r="AE389" s="132"/>
      <c r="AF389" s="132"/>
      <c r="AG389" s="132"/>
      <c r="AH389" s="133"/>
      <c r="AI389" s="37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3"/>
      <c r="BQ389" s="33"/>
    </row>
    <row r="390" ht="15.75" customHeight="1">
      <c r="B390" s="81" t="s">
        <v>495</v>
      </c>
      <c r="C390" s="92"/>
      <c r="D390" s="22">
        <f t="shared" si="30"/>
        <v>1.5</v>
      </c>
      <c r="E390" s="87">
        <v>1.5</v>
      </c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132"/>
      <c r="W390" s="132"/>
      <c r="X390" s="132"/>
      <c r="Y390" s="132"/>
      <c r="Z390" s="132"/>
      <c r="AA390" s="132"/>
      <c r="AB390" s="132"/>
      <c r="AC390" s="132"/>
      <c r="AD390" s="132"/>
      <c r="AE390" s="132"/>
      <c r="AF390" s="132"/>
      <c r="AG390" s="132"/>
      <c r="AH390" s="133"/>
      <c r="AI390" s="37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3"/>
      <c r="BQ390" s="33"/>
    </row>
    <row r="391" ht="15.75" customHeight="1">
      <c r="B391" s="81" t="s">
        <v>496</v>
      </c>
      <c r="C391" s="142"/>
      <c r="D391" s="22">
        <f t="shared" si="30"/>
        <v>1.132</v>
      </c>
      <c r="E391" s="87">
        <v>1.132</v>
      </c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132"/>
      <c r="W391" s="132"/>
      <c r="X391" s="132"/>
      <c r="Y391" s="132"/>
      <c r="Z391" s="132"/>
      <c r="AA391" s="132"/>
      <c r="AB391" s="132"/>
      <c r="AC391" s="132"/>
      <c r="AD391" s="132"/>
      <c r="AE391" s="132"/>
      <c r="AF391" s="132"/>
      <c r="AG391" s="132"/>
      <c r="AH391" s="133"/>
      <c r="AI391" s="37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3"/>
      <c r="BQ391" s="33"/>
    </row>
    <row r="392" ht="15.75" customHeight="1">
      <c r="B392" s="81" t="s">
        <v>497</v>
      </c>
      <c r="C392" s="142"/>
      <c r="D392" s="22">
        <f t="shared" si="30"/>
        <v>0.725</v>
      </c>
      <c r="E392" s="87">
        <v>0.725</v>
      </c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132"/>
      <c r="W392" s="132"/>
      <c r="X392" s="132"/>
      <c r="Y392" s="132"/>
      <c r="Z392" s="132"/>
      <c r="AA392" s="132"/>
      <c r="AB392" s="132"/>
      <c r="AC392" s="132"/>
      <c r="AD392" s="132"/>
      <c r="AE392" s="132"/>
      <c r="AF392" s="132"/>
      <c r="AG392" s="132"/>
      <c r="AH392" s="133"/>
      <c r="AI392" s="37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3"/>
      <c r="BQ392" s="33"/>
    </row>
    <row r="393" ht="15.75" customHeight="1">
      <c r="B393" s="81" t="s">
        <v>498</v>
      </c>
      <c r="C393" s="142"/>
      <c r="D393" s="22">
        <f t="shared" si="30"/>
        <v>2.806</v>
      </c>
      <c r="E393" s="87">
        <v>2.806</v>
      </c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132"/>
      <c r="W393" s="132"/>
      <c r="X393" s="132"/>
      <c r="Y393" s="132"/>
      <c r="Z393" s="132"/>
      <c r="AA393" s="132"/>
      <c r="AB393" s="132"/>
      <c r="AC393" s="132"/>
      <c r="AD393" s="132"/>
      <c r="AE393" s="132"/>
      <c r="AF393" s="132"/>
      <c r="AG393" s="132"/>
      <c r="AH393" s="133"/>
      <c r="AI393" s="37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3"/>
      <c r="BQ393" s="33"/>
    </row>
    <row r="394" ht="15.75" customHeight="1">
      <c r="B394" s="81" t="s">
        <v>499</v>
      </c>
      <c r="C394" s="142"/>
      <c r="D394" s="22">
        <f t="shared" si="30"/>
        <v>0.979</v>
      </c>
      <c r="E394" s="87">
        <v>0.979</v>
      </c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132"/>
      <c r="W394" s="132"/>
      <c r="X394" s="132"/>
      <c r="Y394" s="132"/>
      <c r="Z394" s="132"/>
      <c r="AA394" s="132"/>
      <c r="AB394" s="132"/>
      <c r="AC394" s="132"/>
      <c r="AD394" s="132"/>
      <c r="AE394" s="132"/>
      <c r="AF394" s="132"/>
      <c r="AG394" s="132"/>
      <c r="AH394" s="133"/>
      <c r="AI394" s="37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3"/>
      <c r="BQ394" s="33"/>
    </row>
    <row r="395" ht="15.75" customHeight="1">
      <c r="B395" s="81"/>
      <c r="C395" s="142"/>
      <c r="D395" s="22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3"/>
      <c r="AI395" s="37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3"/>
      <c r="BQ395" s="33"/>
    </row>
    <row r="396" ht="15.75" customHeight="1">
      <c r="B396" s="34" t="s">
        <v>500</v>
      </c>
      <c r="C396" s="143"/>
      <c r="D396" s="22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132"/>
      <c r="W396" s="132"/>
      <c r="X396" s="132"/>
      <c r="Y396" s="132"/>
      <c r="Z396" s="132"/>
      <c r="AA396" s="132"/>
      <c r="AB396" s="132"/>
      <c r="AC396" s="132"/>
      <c r="AD396" s="132"/>
      <c r="AE396" s="132"/>
      <c r="AF396" s="132"/>
      <c r="AG396" s="132"/>
      <c r="AH396" s="133"/>
      <c r="AI396" s="37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3"/>
      <c r="BQ396" s="33"/>
    </row>
    <row r="397" ht="15.75" customHeight="1">
      <c r="B397" s="81" t="s">
        <v>501</v>
      </c>
      <c r="C397" s="29" t="s">
        <v>502</v>
      </c>
      <c r="D397" s="22">
        <f t="shared" ref="D397:D401" si="31">SUM(E397:Z397)</f>
        <v>18</v>
      </c>
      <c r="E397" s="87">
        <v>6.0</v>
      </c>
      <c r="F397" s="87">
        <v>6.0</v>
      </c>
      <c r="G397" s="87">
        <v>6.0</v>
      </c>
      <c r="H397" s="123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132"/>
      <c r="W397" s="132"/>
      <c r="X397" s="132"/>
      <c r="Y397" s="132"/>
      <c r="Z397" s="132"/>
      <c r="AA397" s="132"/>
      <c r="AB397" s="132"/>
      <c r="AC397" s="132"/>
      <c r="AD397" s="132"/>
      <c r="AE397" s="132"/>
      <c r="AF397" s="132"/>
      <c r="AG397" s="132"/>
      <c r="AH397" s="133"/>
      <c r="AI397" s="37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3"/>
      <c r="BQ397" s="33"/>
    </row>
    <row r="398" ht="15.75" customHeight="1">
      <c r="B398" s="81" t="s">
        <v>503</v>
      </c>
      <c r="C398" s="29"/>
      <c r="D398" s="22">
        <f t="shared" si="31"/>
        <v>0.38</v>
      </c>
      <c r="E398" s="87">
        <v>0.38</v>
      </c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132"/>
      <c r="W398" s="132"/>
      <c r="X398" s="132"/>
      <c r="Y398" s="132"/>
      <c r="Z398" s="132"/>
      <c r="AA398" s="132"/>
      <c r="AB398" s="132"/>
      <c r="AC398" s="132"/>
      <c r="AD398" s="132"/>
      <c r="AE398" s="132"/>
      <c r="AF398" s="132"/>
      <c r="AG398" s="132"/>
      <c r="AH398" s="133"/>
      <c r="AI398" s="37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3"/>
      <c r="BQ398" s="33"/>
    </row>
    <row r="399" ht="15.75" customHeight="1">
      <c r="B399" s="81" t="s">
        <v>488</v>
      </c>
      <c r="C399" s="21" t="s">
        <v>504</v>
      </c>
      <c r="D399" s="22">
        <f t="shared" si="31"/>
        <v>0</v>
      </c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132"/>
      <c r="W399" s="132"/>
      <c r="X399" s="132"/>
      <c r="Y399" s="132"/>
      <c r="Z399" s="132"/>
      <c r="AA399" s="132"/>
      <c r="AB399" s="132"/>
      <c r="AC399" s="132"/>
      <c r="AD399" s="132"/>
      <c r="AE399" s="132"/>
      <c r="AF399" s="132"/>
      <c r="AG399" s="132"/>
      <c r="AH399" s="133"/>
      <c r="AI399" s="37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3"/>
      <c r="BQ399" s="33"/>
    </row>
    <row r="400" ht="15.75" customHeight="1">
      <c r="B400" s="81" t="s">
        <v>505</v>
      </c>
      <c r="C400" s="29" t="s">
        <v>506</v>
      </c>
      <c r="D400" s="22">
        <f t="shared" si="31"/>
        <v>1.285</v>
      </c>
      <c r="E400" s="87">
        <v>0.587</v>
      </c>
      <c r="F400" s="87">
        <v>0.698</v>
      </c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132"/>
      <c r="W400" s="132"/>
      <c r="X400" s="132"/>
      <c r="Y400" s="132"/>
      <c r="Z400" s="132"/>
      <c r="AA400" s="132"/>
      <c r="AB400" s="132"/>
      <c r="AC400" s="132"/>
      <c r="AD400" s="132"/>
      <c r="AE400" s="132"/>
      <c r="AF400" s="132"/>
      <c r="AG400" s="132"/>
      <c r="AH400" s="133"/>
      <c r="AI400" s="37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3"/>
      <c r="BQ400" s="33"/>
    </row>
    <row r="401" ht="15.75" customHeight="1">
      <c r="B401" s="81" t="s">
        <v>507</v>
      </c>
      <c r="C401" s="29" t="s">
        <v>508</v>
      </c>
      <c r="D401" s="22">
        <f t="shared" si="31"/>
        <v>1.96</v>
      </c>
      <c r="E401" s="131">
        <v>1.96</v>
      </c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132"/>
      <c r="W401" s="132"/>
      <c r="X401" s="132"/>
      <c r="Y401" s="132"/>
      <c r="Z401" s="132"/>
      <c r="AA401" s="132"/>
      <c r="AB401" s="132"/>
      <c r="AC401" s="132"/>
      <c r="AD401" s="132"/>
      <c r="AE401" s="132"/>
      <c r="AF401" s="132"/>
      <c r="AG401" s="132"/>
      <c r="AH401" s="133"/>
      <c r="AI401" s="37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3"/>
      <c r="BQ401" s="33"/>
    </row>
    <row r="402" ht="15.75" customHeight="1">
      <c r="B402" s="20"/>
      <c r="C402" s="42"/>
      <c r="D402" s="22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132"/>
      <c r="W402" s="132"/>
      <c r="X402" s="132"/>
      <c r="Y402" s="132"/>
      <c r="Z402" s="132"/>
      <c r="AA402" s="132"/>
      <c r="AB402" s="132"/>
      <c r="AC402" s="132"/>
      <c r="AD402" s="132"/>
      <c r="AE402" s="132"/>
      <c r="AF402" s="132"/>
      <c r="AG402" s="132"/>
      <c r="AH402" s="133"/>
      <c r="AI402" s="37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3"/>
      <c r="BQ402" s="33"/>
    </row>
    <row r="403" ht="15.75" customHeight="1">
      <c r="B403" s="34" t="s">
        <v>509</v>
      </c>
      <c r="C403" s="45"/>
      <c r="D403" s="22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132"/>
      <c r="W403" s="132"/>
      <c r="X403" s="132"/>
      <c r="Y403" s="132"/>
      <c r="Z403" s="132"/>
      <c r="AA403" s="132"/>
      <c r="AB403" s="132"/>
      <c r="AC403" s="132"/>
      <c r="AD403" s="132"/>
      <c r="AE403" s="132"/>
      <c r="AF403" s="132"/>
      <c r="AG403" s="132"/>
      <c r="AH403" s="133"/>
      <c r="AI403" s="37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3"/>
      <c r="BQ403" s="33"/>
    </row>
    <row r="404" ht="15.75" customHeight="1">
      <c r="B404" s="20" t="s">
        <v>69</v>
      </c>
      <c r="C404" s="42"/>
      <c r="D404" s="22">
        <f t="shared" ref="D404:D413" si="32">SUM(E404:Z404)</f>
        <v>9.906</v>
      </c>
      <c r="E404" s="87">
        <v>3.692</v>
      </c>
      <c r="F404" s="87">
        <v>3.507</v>
      </c>
      <c r="G404" s="87">
        <v>1.7</v>
      </c>
      <c r="H404" s="87">
        <v>1.007</v>
      </c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132"/>
      <c r="W404" s="132"/>
      <c r="X404" s="132"/>
      <c r="Y404" s="132"/>
      <c r="Z404" s="132"/>
      <c r="AA404" s="132"/>
      <c r="AB404" s="132"/>
      <c r="AC404" s="132"/>
      <c r="AD404" s="132"/>
      <c r="AE404" s="132"/>
      <c r="AF404" s="132"/>
      <c r="AG404" s="132"/>
      <c r="AH404" s="133"/>
      <c r="AI404" s="37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3"/>
      <c r="BQ404" s="33"/>
    </row>
    <row r="405" ht="15.75" customHeight="1">
      <c r="B405" s="20" t="s">
        <v>510</v>
      </c>
      <c r="C405" s="42"/>
      <c r="D405" s="22">
        <f t="shared" si="32"/>
        <v>7.078</v>
      </c>
      <c r="E405" s="87">
        <v>3.666</v>
      </c>
      <c r="F405" s="87">
        <v>3.412</v>
      </c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132"/>
      <c r="W405" s="132"/>
      <c r="X405" s="132"/>
      <c r="Y405" s="132"/>
      <c r="Z405" s="132"/>
      <c r="AA405" s="132"/>
      <c r="AB405" s="132"/>
      <c r="AC405" s="132"/>
      <c r="AD405" s="132"/>
      <c r="AE405" s="132"/>
      <c r="AF405" s="132"/>
      <c r="AG405" s="132"/>
      <c r="AH405" s="133"/>
      <c r="AI405" s="37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3"/>
      <c r="BQ405" s="33"/>
    </row>
    <row r="406" ht="15.75" customHeight="1">
      <c r="B406" s="20" t="s">
        <v>511</v>
      </c>
      <c r="C406" s="42"/>
      <c r="D406" s="22">
        <f t="shared" si="32"/>
        <v>2.316</v>
      </c>
      <c r="E406" s="87">
        <v>2.316</v>
      </c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132"/>
      <c r="W406" s="132"/>
      <c r="X406" s="132"/>
      <c r="Y406" s="132"/>
      <c r="Z406" s="132"/>
      <c r="AA406" s="132"/>
      <c r="AB406" s="132"/>
      <c r="AC406" s="132"/>
      <c r="AD406" s="132"/>
      <c r="AE406" s="132"/>
      <c r="AF406" s="132"/>
      <c r="AG406" s="132"/>
      <c r="AH406" s="133"/>
      <c r="AI406" s="37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3"/>
      <c r="BQ406" s="33"/>
    </row>
    <row r="407" ht="15.75" customHeight="1">
      <c r="B407" s="20" t="s">
        <v>512</v>
      </c>
      <c r="C407" s="42"/>
      <c r="D407" s="22">
        <f t="shared" si="32"/>
        <v>1.5</v>
      </c>
      <c r="E407" s="87">
        <v>1.5</v>
      </c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132"/>
      <c r="W407" s="132"/>
      <c r="X407" s="132"/>
      <c r="Y407" s="132"/>
      <c r="Z407" s="132"/>
      <c r="AA407" s="132"/>
      <c r="AB407" s="132"/>
      <c r="AC407" s="132"/>
      <c r="AD407" s="132"/>
      <c r="AE407" s="132"/>
      <c r="AF407" s="132"/>
      <c r="AG407" s="132"/>
      <c r="AH407" s="133"/>
      <c r="AI407" s="37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3"/>
      <c r="BQ407" s="33"/>
    </row>
    <row r="408" ht="15.75" customHeight="1">
      <c r="B408" s="20" t="s">
        <v>75</v>
      </c>
      <c r="C408" s="48"/>
      <c r="D408" s="22">
        <f t="shared" si="32"/>
        <v>5.403</v>
      </c>
      <c r="E408" s="87">
        <v>2.96</v>
      </c>
      <c r="F408" s="87">
        <v>1.75</v>
      </c>
      <c r="G408" s="87">
        <v>0.693</v>
      </c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3"/>
      <c r="AI408" s="37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3"/>
      <c r="BQ408" s="33"/>
    </row>
    <row r="409" ht="15.75" customHeight="1">
      <c r="B409" s="20" t="s">
        <v>513</v>
      </c>
      <c r="C409" s="42"/>
      <c r="D409" s="22">
        <f t="shared" si="32"/>
        <v>10.309</v>
      </c>
      <c r="E409" s="87">
        <v>3.24</v>
      </c>
      <c r="F409" s="87">
        <v>3.22</v>
      </c>
      <c r="G409" s="87">
        <v>2.722</v>
      </c>
      <c r="H409" s="87">
        <v>1.127</v>
      </c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132"/>
      <c r="W409" s="132"/>
      <c r="X409" s="132"/>
      <c r="Y409" s="132"/>
      <c r="Z409" s="132"/>
      <c r="AA409" s="132"/>
      <c r="AB409" s="132"/>
      <c r="AC409" s="132"/>
      <c r="AD409" s="132"/>
      <c r="AE409" s="132"/>
      <c r="AF409" s="132"/>
      <c r="AG409" s="132"/>
      <c r="AH409" s="133"/>
      <c r="AI409" s="37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3"/>
      <c r="BQ409" s="33"/>
    </row>
    <row r="410" ht="15.75" customHeight="1">
      <c r="B410" s="20" t="s">
        <v>514</v>
      </c>
      <c r="C410" s="42"/>
      <c r="D410" s="22">
        <f t="shared" si="32"/>
        <v>8.914</v>
      </c>
      <c r="E410" s="87">
        <v>3.356</v>
      </c>
      <c r="F410" s="87">
        <v>3.62</v>
      </c>
      <c r="G410" s="87">
        <v>1.76</v>
      </c>
      <c r="H410" s="87">
        <v>0.178</v>
      </c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132"/>
      <c r="W410" s="132"/>
      <c r="X410" s="132"/>
      <c r="Y410" s="132"/>
      <c r="Z410" s="132"/>
      <c r="AA410" s="132"/>
      <c r="AB410" s="132"/>
      <c r="AC410" s="132"/>
      <c r="AD410" s="132"/>
      <c r="AE410" s="132"/>
      <c r="AF410" s="132"/>
      <c r="AG410" s="132"/>
      <c r="AH410" s="133"/>
      <c r="AI410" s="37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3"/>
      <c r="BQ410" s="33"/>
    </row>
    <row r="411" ht="15.75" customHeight="1">
      <c r="B411" s="20" t="s">
        <v>515</v>
      </c>
      <c r="C411" s="42"/>
      <c r="D411" s="22">
        <f t="shared" si="32"/>
        <v>8.323</v>
      </c>
      <c r="E411" s="87">
        <v>3.438</v>
      </c>
      <c r="F411" s="87">
        <v>3.241</v>
      </c>
      <c r="G411" s="87">
        <v>1.644</v>
      </c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132"/>
      <c r="W411" s="132"/>
      <c r="X411" s="132"/>
      <c r="Y411" s="132"/>
      <c r="Z411" s="132"/>
      <c r="AA411" s="132"/>
      <c r="AB411" s="132"/>
      <c r="AC411" s="132"/>
      <c r="AD411" s="132"/>
      <c r="AE411" s="132"/>
      <c r="AF411" s="132"/>
      <c r="AG411" s="132"/>
      <c r="AH411" s="133"/>
      <c r="AI411" s="37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3"/>
      <c r="BQ411" s="33"/>
    </row>
    <row r="412" ht="15.75" customHeight="1">
      <c r="B412" s="20" t="s">
        <v>79</v>
      </c>
      <c r="C412" s="48"/>
      <c r="D412" s="22">
        <f t="shared" si="32"/>
        <v>2.117</v>
      </c>
      <c r="E412" s="87">
        <v>2.117</v>
      </c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132"/>
      <c r="W412" s="132"/>
      <c r="X412" s="132"/>
      <c r="Y412" s="132"/>
      <c r="Z412" s="132"/>
      <c r="AA412" s="132"/>
      <c r="AB412" s="132"/>
      <c r="AC412" s="132"/>
      <c r="AD412" s="132"/>
      <c r="AE412" s="132"/>
      <c r="AF412" s="132"/>
      <c r="AG412" s="132"/>
      <c r="AH412" s="133"/>
      <c r="AI412" s="37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3"/>
      <c r="BQ412" s="33"/>
    </row>
    <row r="413" ht="15.75" customHeight="1">
      <c r="B413" s="20" t="s">
        <v>271</v>
      </c>
      <c r="C413" s="92"/>
      <c r="D413" s="22">
        <f t="shared" si="32"/>
        <v>4.332</v>
      </c>
      <c r="E413" s="87">
        <v>3.134</v>
      </c>
      <c r="F413" s="87">
        <v>1.198</v>
      </c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132"/>
      <c r="W413" s="132"/>
      <c r="X413" s="132"/>
      <c r="Y413" s="132"/>
      <c r="Z413" s="132"/>
      <c r="AA413" s="132"/>
      <c r="AB413" s="132"/>
      <c r="AC413" s="132"/>
      <c r="AD413" s="132"/>
      <c r="AE413" s="132"/>
      <c r="AF413" s="132"/>
      <c r="AG413" s="132"/>
      <c r="AH413" s="133"/>
      <c r="AI413" s="37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3"/>
      <c r="BQ413" s="33"/>
    </row>
    <row r="414" ht="15.75" customHeight="1">
      <c r="B414" s="20"/>
      <c r="C414" s="61"/>
      <c r="D414" s="22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132"/>
      <c r="W414" s="132"/>
      <c r="X414" s="132"/>
      <c r="Y414" s="132"/>
      <c r="Z414" s="132"/>
      <c r="AA414" s="132"/>
      <c r="AB414" s="132"/>
      <c r="AC414" s="132"/>
      <c r="AD414" s="132"/>
      <c r="AE414" s="132"/>
      <c r="AF414" s="132"/>
      <c r="AG414" s="132"/>
      <c r="AH414" s="133"/>
      <c r="AI414" s="37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3"/>
      <c r="BQ414" s="33"/>
    </row>
    <row r="415" ht="15.75" customHeight="1">
      <c r="B415" s="34" t="s">
        <v>516</v>
      </c>
      <c r="C415" s="31"/>
      <c r="D415" s="43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132"/>
      <c r="W415" s="132"/>
      <c r="X415" s="132"/>
      <c r="Y415" s="132"/>
      <c r="Z415" s="132"/>
      <c r="AA415" s="132"/>
      <c r="AB415" s="132"/>
      <c r="AC415" s="132"/>
      <c r="AD415" s="132"/>
      <c r="AE415" s="132"/>
      <c r="AF415" s="132"/>
      <c r="AG415" s="132"/>
      <c r="AH415" s="133"/>
      <c r="AI415" s="37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3"/>
      <c r="BQ415" s="33"/>
    </row>
    <row r="416" ht="15.75" customHeight="1">
      <c r="B416" s="20" t="s">
        <v>517</v>
      </c>
      <c r="C416" s="31"/>
      <c r="D416" s="22">
        <f t="shared" ref="D416:D417" si="33">SUM(E416:Z416)</f>
        <v>4.658</v>
      </c>
      <c r="E416" s="87">
        <v>4.658</v>
      </c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132"/>
      <c r="W416" s="132"/>
      <c r="X416" s="132"/>
      <c r="Y416" s="132"/>
      <c r="Z416" s="132"/>
      <c r="AA416" s="132"/>
      <c r="AB416" s="132"/>
      <c r="AC416" s="132"/>
      <c r="AD416" s="132"/>
      <c r="AE416" s="132"/>
      <c r="AF416" s="132"/>
      <c r="AG416" s="132"/>
      <c r="AH416" s="133"/>
      <c r="AI416" s="37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3"/>
      <c r="BQ416" s="33"/>
    </row>
    <row r="417" ht="15.75" customHeight="1">
      <c r="B417" s="20" t="s">
        <v>518</v>
      </c>
      <c r="C417" s="21"/>
      <c r="D417" s="22">
        <f t="shared" si="33"/>
        <v>2.32</v>
      </c>
      <c r="E417" s="87">
        <v>2.32</v>
      </c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132"/>
      <c r="W417" s="132"/>
      <c r="X417" s="132"/>
      <c r="Y417" s="132"/>
      <c r="Z417" s="132"/>
      <c r="AA417" s="132"/>
      <c r="AB417" s="132"/>
      <c r="AC417" s="132"/>
      <c r="AD417" s="132"/>
      <c r="AE417" s="132"/>
      <c r="AF417" s="132"/>
      <c r="AG417" s="132"/>
      <c r="AH417" s="133"/>
      <c r="AI417" s="37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3"/>
      <c r="BQ417" s="33"/>
    </row>
    <row r="418" ht="15.75" customHeight="1">
      <c r="B418" s="20"/>
      <c r="C418" s="21"/>
      <c r="D418" s="22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132"/>
      <c r="W418" s="132"/>
      <c r="X418" s="132"/>
      <c r="Y418" s="132"/>
      <c r="Z418" s="132"/>
      <c r="AA418" s="132"/>
      <c r="AB418" s="132"/>
      <c r="AC418" s="132"/>
      <c r="AD418" s="132"/>
      <c r="AE418" s="132"/>
      <c r="AF418" s="132"/>
      <c r="AG418" s="132"/>
      <c r="AH418" s="133"/>
      <c r="AI418" s="37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3"/>
      <c r="BQ418" s="33"/>
    </row>
    <row r="419" ht="15.75" customHeight="1">
      <c r="B419" s="34" t="s">
        <v>519</v>
      </c>
      <c r="C419" s="21"/>
      <c r="D419" s="22"/>
      <c r="E419" s="87"/>
      <c r="F419" s="87"/>
      <c r="G419" s="87"/>
      <c r="H419" s="87"/>
      <c r="I419" s="87"/>
      <c r="J419" s="144"/>
      <c r="K419" s="144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3"/>
      <c r="AI419" s="37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3"/>
      <c r="BQ419" s="33"/>
    </row>
    <row r="420" ht="15.75" customHeight="1">
      <c r="B420" s="20" t="s">
        <v>7</v>
      </c>
      <c r="C420" s="21" t="s">
        <v>520</v>
      </c>
      <c r="D420" s="22">
        <f t="shared" ref="D420:D433" si="34">SUM(E420:Z420)</f>
        <v>10.469</v>
      </c>
      <c r="E420" s="123">
        <v>3.787</v>
      </c>
      <c r="F420" s="123">
        <v>2.65</v>
      </c>
      <c r="G420" s="131">
        <v>2.64</v>
      </c>
      <c r="H420" s="131">
        <v>0.902</v>
      </c>
      <c r="I420" s="131">
        <v>0.49</v>
      </c>
      <c r="J420" s="131"/>
      <c r="K420" s="131"/>
      <c r="L420" s="131"/>
      <c r="M420" s="87"/>
      <c r="N420" s="87"/>
      <c r="O420" s="87"/>
      <c r="P420" s="87"/>
      <c r="Q420" s="87"/>
      <c r="R420" s="87"/>
      <c r="S420" s="87"/>
      <c r="T420" s="87"/>
      <c r="U420" s="87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3"/>
      <c r="AI420" s="37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3"/>
      <c r="BQ420" s="33"/>
    </row>
    <row r="421" ht="15.75" customHeight="1">
      <c r="B421" s="20" t="s">
        <v>521</v>
      </c>
      <c r="C421" s="21" t="s">
        <v>522</v>
      </c>
      <c r="D421" s="22">
        <f t="shared" si="34"/>
        <v>12</v>
      </c>
      <c r="E421" s="87">
        <v>6.0</v>
      </c>
      <c r="F421" s="87">
        <v>6.0</v>
      </c>
      <c r="G421" s="145"/>
      <c r="H421" s="87"/>
      <c r="I421" s="32" t="s">
        <v>523</v>
      </c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3"/>
      <c r="AI421" s="37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3"/>
      <c r="BQ421" s="33"/>
    </row>
    <row r="422" ht="15.75" customHeight="1">
      <c r="B422" s="20" t="s">
        <v>156</v>
      </c>
      <c r="C422" s="41" t="s">
        <v>524</v>
      </c>
      <c r="D422" s="22">
        <f t="shared" si="34"/>
        <v>27.463</v>
      </c>
      <c r="E422" s="87">
        <v>6.0</v>
      </c>
      <c r="F422" s="87">
        <v>6.0</v>
      </c>
      <c r="G422" s="87">
        <v>6.0</v>
      </c>
      <c r="H422" s="87">
        <v>6.0</v>
      </c>
      <c r="I422" s="123">
        <v>2.77</v>
      </c>
      <c r="J422" s="87">
        <v>0.693</v>
      </c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  <c r="AJ422" s="132"/>
      <c r="AK422" s="133"/>
      <c r="AL422" s="37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</row>
    <row r="423" ht="15.75" customHeight="1">
      <c r="B423" s="20" t="s">
        <v>158</v>
      </c>
      <c r="C423" s="29" t="s">
        <v>525</v>
      </c>
      <c r="D423" s="22">
        <f t="shared" si="34"/>
        <v>22.342</v>
      </c>
      <c r="E423" s="87">
        <v>6.0</v>
      </c>
      <c r="F423" s="87">
        <v>6.0</v>
      </c>
      <c r="G423" s="87">
        <v>6.0</v>
      </c>
      <c r="H423" s="123">
        <v>4.342</v>
      </c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132"/>
      <c r="W423" s="132"/>
      <c r="X423" s="132"/>
      <c r="Y423" s="132"/>
      <c r="Z423" s="132"/>
      <c r="AA423" s="132"/>
      <c r="AB423" s="132"/>
      <c r="AC423" s="132"/>
      <c r="AD423" s="132"/>
      <c r="AE423" s="132"/>
      <c r="AF423" s="132"/>
      <c r="AG423" s="132"/>
      <c r="AH423" s="133"/>
      <c r="AI423" s="37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3"/>
      <c r="BQ423" s="33"/>
    </row>
    <row r="424" ht="15.75" customHeight="1">
      <c r="B424" s="81" t="s">
        <v>159</v>
      </c>
      <c r="C424" s="29" t="s">
        <v>526</v>
      </c>
      <c r="D424" s="22">
        <f t="shared" si="34"/>
        <v>10.53</v>
      </c>
      <c r="E424" s="87">
        <v>6.0</v>
      </c>
      <c r="F424" s="123">
        <v>4.53</v>
      </c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135"/>
      <c r="R424" s="87"/>
      <c r="S424" s="87"/>
      <c r="T424" s="87"/>
      <c r="U424" s="87"/>
      <c r="V424" s="87"/>
      <c r="W424" s="87"/>
      <c r="X424" s="87"/>
      <c r="Y424" s="132"/>
      <c r="Z424" s="132"/>
      <c r="AA424" s="132"/>
      <c r="AB424" s="132"/>
      <c r="AC424" s="132"/>
      <c r="AD424" s="132"/>
      <c r="AE424" s="132"/>
      <c r="AF424" s="132"/>
      <c r="AG424" s="132"/>
      <c r="AH424" s="133"/>
      <c r="AI424" s="37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3"/>
      <c r="BQ424" s="33"/>
    </row>
    <row r="425" ht="15.75" customHeight="1">
      <c r="B425" s="81" t="s">
        <v>527</v>
      </c>
      <c r="C425" s="29" t="s">
        <v>528</v>
      </c>
      <c r="D425" s="22">
        <f t="shared" si="34"/>
        <v>13.474</v>
      </c>
      <c r="E425" s="87">
        <v>6.0</v>
      </c>
      <c r="F425" s="123">
        <v>3.86</v>
      </c>
      <c r="G425" s="87">
        <v>0.903</v>
      </c>
      <c r="H425" s="87">
        <v>2.035</v>
      </c>
      <c r="I425" s="87">
        <v>0.676</v>
      </c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132"/>
      <c r="W425" s="132"/>
      <c r="X425" s="132"/>
      <c r="Y425" s="132"/>
      <c r="Z425" s="132"/>
      <c r="AA425" s="132"/>
      <c r="AB425" s="132"/>
      <c r="AC425" s="132"/>
      <c r="AD425" s="132"/>
      <c r="AE425" s="132"/>
      <c r="AF425" s="132"/>
      <c r="AG425" s="132"/>
      <c r="AH425" s="133"/>
      <c r="AI425" s="37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3"/>
      <c r="BQ425" s="33"/>
    </row>
    <row r="426" ht="15.75" customHeight="1">
      <c r="B426" s="81" t="s">
        <v>18</v>
      </c>
      <c r="C426" s="29" t="s">
        <v>529</v>
      </c>
      <c r="D426" s="22">
        <f t="shared" si="34"/>
        <v>17.042</v>
      </c>
      <c r="E426" s="131">
        <v>6.0</v>
      </c>
      <c r="F426" s="131">
        <v>6.0</v>
      </c>
      <c r="G426" s="146">
        <v>5.042</v>
      </c>
      <c r="H426" s="131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132"/>
      <c r="W426" s="132"/>
      <c r="X426" s="132"/>
      <c r="Y426" s="132"/>
      <c r="Z426" s="132"/>
      <c r="AA426" s="132"/>
      <c r="AB426" s="132"/>
      <c r="AC426" s="132"/>
      <c r="AD426" s="132"/>
      <c r="AE426" s="132"/>
      <c r="AF426" s="132"/>
      <c r="AG426" s="132"/>
      <c r="AH426" s="133"/>
      <c r="AI426" s="37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3"/>
      <c r="BQ426" s="33"/>
    </row>
    <row r="427" ht="15.75" customHeight="1">
      <c r="B427" s="81" t="s">
        <v>163</v>
      </c>
      <c r="C427" s="29" t="s">
        <v>530</v>
      </c>
      <c r="D427" s="22">
        <f t="shared" si="34"/>
        <v>24</v>
      </c>
      <c r="E427" s="131">
        <v>6.0</v>
      </c>
      <c r="F427" s="131">
        <v>6.0</v>
      </c>
      <c r="G427" s="131">
        <v>6.0</v>
      </c>
      <c r="H427" s="131">
        <v>6.0</v>
      </c>
      <c r="I427" s="131"/>
      <c r="J427" s="131"/>
      <c r="K427" s="131"/>
      <c r="L427" s="131"/>
      <c r="M427" s="87"/>
      <c r="N427" s="131"/>
      <c r="O427" s="131"/>
      <c r="P427" s="87"/>
      <c r="Q427" s="87"/>
      <c r="R427" s="87"/>
      <c r="S427" s="87"/>
      <c r="T427" s="87"/>
      <c r="U427" s="87"/>
      <c r="V427" s="132"/>
      <c r="W427" s="132"/>
      <c r="X427" s="132"/>
      <c r="Y427" s="132"/>
      <c r="Z427" s="132"/>
      <c r="AA427" s="132"/>
      <c r="AB427" s="132"/>
      <c r="AC427" s="132"/>
      <c r="AD427" s="132"/>
      <c r="AE427" s="132"/>
      <c r="AF427" s="132"/>
      <c r="AG427" s="132"/>
      <c r="AH427" s="133"/>
      <c r="AI427" s="37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3"/>
      <c r="BQ427" s="33"/>
    </row>
    <row r="428" ht="15.75" customHeight="1">
      <c r="B428" s="81" t="s">
        <v>531</v>
      </c>
      <c r="C428" s="29" t="s">
        <v>532</v>
      </c>
      <c r="D428" s="22">
        <f t="shared" si="34"/>
        <v>5.592</v>
      </c>
      <c r="E428" s="123">
        <v>5.592</v>
      </c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132"/>
      <c r="W428" s="132"/>
      <c r="X428" s="132"/>
      <c r="Y428" s="132"/>
      <c r="Z428" s="132"/>
      <c r="AA428" s="132"/>
      <c r="AB428" s="132"/>
      <c r="AC428" s="132"/>
      <c r="AD428" s="132"/>
      <c r="AE428" s="132"/>
      <c r="AF428" s="132"/>
      <c r="AG428" s="132"/>
      <c r="AH428" s="133"/>
      <c r="AI428" s="37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3"/>
      <c r="BQ428" s="33"/>
    </row>
    <row r="429" ht="15.75" customHeight="1">
      <c r="B429" s="81" t="s">
        <v>533</v>
      </c>
      <c r="C429" s="29" t="s">
        <v>534</v>
      </c>
      <c r="D429" s="22">
        <f t="shared" si="34"/>
        <v>13.095</v>
      </c>
      <c r="E429" s="87">
        <v>6.0</v>
      </c>
      <c r="F429" s="87">
        <v>6.0</v>
      </c>
      <c r="G429" s="87">
        <v>0.705</v>
      </c>
      <c r="H429" s="87">
        <v>0.39</v>
      </c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132"/>
      <c r="W429" s="132"/>
      <c r="X429" s="132"/>
      <c r="Y429" s="132"/>
      <c r="Z429" s="132"/>
      <c r="AA429" s="132"/>
      <c r="AB429" s="132"/>
      <c r="AC429" s="132"/>
      <c r="AD429" s="132"/>
      <c r="AE429" s="132"/>
      <c r="AF429" s="132"/>
      <c r="AG429" s="132"/>
      <c r="AH429" s="133"/>
      <c r="AI429" s="37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3"/>
      <c r="BQ429" s="33"/>
    </row>
    <row r="430" ht="15.75" customHeight="1">
      <c r="B430" s="81" t="s">
        <v>535</v>
      </c>
      <c r="C430" s="29" t="s">
        <v>536</v>
      </c>
      <c r="D430" s="22">
        <f t="shared" si="34"/>
        <v>16.705</v>
      </c>
      <c r="E430" s="87">
        <v>6.0</v>
      </c>
      <c r="F430" s="87">
        <v>6.0</v>
      </c>
      <c r="G430" s="87">
        <v>3.705</v>
      </c>
      <c r="H430" s="87">
        <v>0.5</v>
      </c>
      <c r="I430" s="87">
        <v>0.5</v>
      </c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132"/>
      <c r="W430" s="132"/>
      <c r="X430" s="132"/>
      <c r="Y430" s="132"/>
      <c r="Z430" s="132"/>
      <c r="AA430" s="132"/>
      <c r="AB430" s="132"/>
      <c r="AC430" s="132"/>
      <c r="AD430" s="132"/>
      <c r="AE430" s="132"/>
      <c r="AF430" s="132"/>
      <c r="AG430" s="132"/>
      <c r="AH430" s="133"/>
      <c r="AI430" s="37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3"/>
      <c r="BQ430" s="33"/>
    </row>
    <row r="431" ht="15.75" customHeight="1">
      <c r="B431" s="20" t="s">
        <v>537</v>
      </c>
      <c r="C431" s="64" t="s">
        <v>538</v>
      </c>
      <c r="D431" s="22">
        <f t="shared" si="34"/>
        <v>6.875</v>
      </c>
      <c r="E431" s="87">
        <v>6.0</v>
      </c>
      <c r="F431" s="123">
        <v>0.875</v>
      </c>
      <c r="G431" s="87"/>
      <c r="H431" s="87"/>
      <c r="I431" s="87"/>
      <c r="J431" s="87"/>
      <c r="K431" s="87"/>
      <c r="L431" s="87"/>
      <c r="M431" s="87" t="s">
        <v>539</v>
      </c>
      <c r="N431" s="87"/>
      <c r="O431" s="87"/>
      <c r="P431" s="87"/>
      <c r="Q431" s="87"/>
      <c r="R431" s="87"/>
      <c r="S431" s="87"/>
      <c r="T431" s="87"/>
      <c r="U431" s="87"/>
      <c r="V431" s="132"/>
      <c r="W431" s="132"/>
      <c r="X431" s="132"/>
      <c r="Y431" s="132"/>
      <c r="Z431" s="132"/>
      <c r="AA431" s="132"/>
      <c r="AB431" s="132"/>
      <c r="AC431" s="132"/>
      <c r="AD431" s="132"/>
      <c r="AE431" s="132"/>
      <c r="AF431" s="132"/>
      <c r="AG431" s="132"/>
      <c r="AH431" s="133"/>
      <c r="AI431" s="37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3"/>
      <c r="BQ431" s="33"/>
    </row>
    <row r="432" ht="15.75" customHeight="1">
      <c r="B432" s="20" t="s">
        <v>540</v>
      </c>
      <c r="C432" s="64" t="s">
        <v>541</v>
      </c>
      <c r="D432" s="22">
        <f t="shared" si="34"/>
        <v>4.285</v>
      </c>
      <c r="E432" s="123">
        <v>4.285</v>
      </c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132"/>
      <c r="W432" s="132"/>
      <c r="X432" s="132"/>
      <c r="Y432" s="132"/>
      <c r="Z432" s="132"/>
      <c r="AA432" s="132"/>
      <c r="AB432" s="132"/>
      <c r="AC432" s="132"/>
      <c r="AD432" s="132"/>
      <c r="AE432" s="132"/>
      <c r="AF432" s="132"/>
      <c r="AG432" s="132"/>
      <c r="AH432" s="133"/>
      <c r="AI432" s="37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3"/>
      <c r="BQ432" s="33"/>
    </row>
    <row r="433" ht="15.75" customHeight="1">
      <c r="B433" s="81" t="s">
        <v>542</v>
      </c>
      <c r="C433" s="147">
        <v>1160.63</v>
      </c>
      <c r="D433" s="22">
        <f t="shared" si="34"/>
        <v>0.528</v>
      </c>
      <c r="E433" s="87">
        <v>0.528</v>
      </c>
      <c r="F433" s="87"/>
      <c r="G433" s="31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132"/>
      <c r="W433" s="132"/>
      <c r="X433" s="132"/>
      <c r="Y433" s="132"/>
      <c r="Z433" s="132"/>
      <c r="AA433" s="132"/>
      <c r="AB433" s="132"/>
      <c r="AC433" s="132"/>
      <c r="AD433" s="132"/>
      <c r="AE433" s="132"/>
      <c r="AF433" s="132"/>
      <c r="AG433" s="132"/>
      <c r="AH433" s="133"/>
      <c r="AI433" s="37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3"/>
      <c r="BQ433" s="33"/>
    </row>
    <row r="434" ht="15.75" customHeight="1">
      <c r="B434" s="81"/>
      <c r="C434" s="52"/>
      <c r="D434" s="22"/>
      <c r="E434" s="87"/>
      <c r="F434" s="87"/>
      <c r="G434" s="31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132"/>
      <c r="W434" s="132"/>
      <c r="X434" s="132"/>
      <c r="Y434" s="132"/>
      <c r="Z434" s="132"/>
      <c r="AA434" s="132"/>
      <c r="AB434" s="132"/>
      <c r="AC434" s="132"/>
      <c r="AD434" s="132"/>
      <c r="AE434" s="132"/>
      <c r="AF434" s="132"/>
      <c r="AG434" s="132"/>
      <c r="AH434" s="133"/>
      <c r="AI434" s="37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3"/>
      <c r="BQ434" s="33"/>
    </row>
    <row r="435" ht="15.75" customHeight="1">
      <c r="B435" s="34" t="s">
        <v>543</v>
      </c>
      <c r="C435" s="29"/>
      <c r="D435" s="22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33"/>
      <c r="AI435" s="37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3"/>
      <c r="BQ435" s="33"/>
    </row>
    <row r="436" ht="15.75" customHeight="1">
      <c r="B436" s="20" t="s">
        <v>544</v>
      </c>
      <c r="C436" s="29" t="s">
        <v>545</v>
      </c>
      <c r="D436" s="22">
        <f t="shared" ref="D436:D439" si="35">SUM(E436:Z436)</f>
        <v>6.5</v>
      </c>
      <c r="E436" s="87">
        <v>6.5</v>
      </c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132"/>
      <c r="W436" s="132"/>
      <c r="X436" s="132"/>
      <c r="Y436" s="132"/>
      <c r="Z436" s="132"/>
      <c r="AA436" s="132"/>
      <c r="AB436" s="132"/>
      <c r="AC436" s="132"/>
      <c r="AD436" s="132"/>
      <c r="AE436" s="132"/>
      <c r="AF436" s="132"/>
      <c r="AG436" s="132"/>
      <c r="AH436" s="133"/>
      <c r="AI436" s="37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3"/>
      <c r="BQ436" s="33"/>
    </row>
    <row r="437" ht="15.75" customHeight="1">
      <c r="B437" s="81" t="s">
        <v>546</v>
      </c>
      <c r="C437" s="29" t="s">
        <v>547</v>
      </c>
      <c r="D437" s="22">
        <f t="shared" si="35"/>
        <v>0</v>
      </c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132"/>
      <c r="W437" s="132"/>
      <c r="X437" s="132"/>
      <c r="Y437" s="132"/>
      <c r="Z437" s="132"/>
      <c r="AA437" s="132"/>
      <c r="AB437" s="132"/>
      <c r="AC437" s="132"/>
      <c r="AD437" s="132"/>
      <c r="AE437" s="132"/>
      <c r="AF437" s="132"/>
      <c r="AG437" s="132"/>
      <c r="AH437" s="133"/>
      <c r="AI437" s="37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3"/>
      <c r="BQ437" s="33"/>
    </row>
    <row r="438" ht="15.75" customHeight="1">
      <c r="B438" s="20" t="s">
        <v>548</v>
      </c>
      <c r="C438" s="29"/>
      <c r="D438" s="22">
        <f t="shared" si="35"/>
        <v>0.57</v>
      </c>
      <c r="E438" s="135">
        <v>0.57</v>
      </c>
      <c r="F438" s="135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132"/>
      <c r="W438" s="132"/>
      <c r="X438" s="132"/>
      <c r="Y438" s="132"/>
      <c r="Z438" s="132"/>
      <c r="AA438" s="132"/>
      <c r="AB438" s="132"/>
      <c r="AC438" s="132"/>
      <c r="AD438" s="132"/>
      <c r="AE438" s="132"/>
      <c r="AF438" s="132"/>
      <c r="AG438" s="132"/>
      <c r="AH438" s="133"/>
      <c r="AI438" s="37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3"/>
      <c r="BQ438" s="33"/>
    </row>
    <row r="439" ht="15.75" customHeight="1">
      <c r="B439" s="20" t="s">
        <v>549</v>
      </c>
      <c r="C439" s="21"/>
      <c r="D439" s="22">
        <f t="shared" si="35"/>
        <v>1.225</v>
      </c>
      <c r="E439" s="87">
        <v>1.225</v>
      </c>
      <c r="F439" s="87"/>
      <c r="G439" s="87"/>
      <c r="H439" s="87"/>
      <c r="I439" s="87"/>
      <c r="J439" s="87"/>
      <c r="K439" s="87"/>
      <c r="L439" s="87" t="s">
        <v>550</v>
      </c>
      <c r="M439" s="87"/>
      <c r="N439" s="87"/>
      <c r="O439" s="87"/>
      <c r="P439" s="87"/>
      <c r="Q439" s="87"/>
      <c r="R439" s="87"/>
      <c r="S439" s="87"/>
      <c r="T439" s="87"/>
      <c r="U439" s="87"/>
      <c r="V439" s="132"/>
      <c r="W439" s="132"/>
      <c r="X439" s="132"/>
      <c r="Y439" s="132"/>
      <c r="Z439" s="132"/>
      <c r="AA439" s="132"/>
      <c r="AB439" s="132"/>
      <c r="AC439" s="132"/>
      <c r="AD439" s="132"/>
      <c r="AE439" s="132"/>
      <c r="AF439" s="132"/>
      <c r="AG439" s="132"/>
      <c r="AH439" s="133"/>
      <c r="AI439" s="37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3"/>
      <c r="BQ439" s="33"/>
    </row>
    <row r="440" ht="15.75" customHeight="1">
      <c r="B440" s="20"/>
      <c r="C440" s="45"/>
      <c r="D440" s="22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132"/>
      <c r="W440" s="132"/>
      <c r="X440" s="132"/>
      <c r="Y440" s="132"/>
      <c r="Z440" s="132"/>
      <c r="AA440" s="132"/>
      <c r="AB440" s="132"/>
      <c r="AC440" s="132"/>
      <c r="AD440" s="132"/>
      <c r="AE440" s="132"/>
      <c r="AF440" s="132"/>
      <c r="AG440" s="132"/>
      <c r="AH440" s="133"/>
      <c r="AI440" s="37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3"/>
      <c r="BQ440" s="33"/>
    </row>
    <row r="441" ht="15.75" customHeight="1">
      <c r="B441" s="34" t="s">
        <v>551</v>
      </c>
      <c r="C441" s="29"/>
      <c r="D441" s="22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132"/>
      <c r="W441" s="132"/>
      <c r="X441" s="132"/>
      <c r="Y441" s="132"/>
      <c r="Z441" s="132"/>
      <c r="AA441" s="132"/>
      <c r="AB441" s="132"/>
      <c r="AC441" s="132"/>
      <c r="AD441" s="132"/>
      <c r="AE441" s="132"/>
      <c r="AF441" s="132"/>
      <c r="AG441" s="132"/>
      <c r="AH441" s="133"/>
      <c r="AI441" s="37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3"/>
      <c r="BQ441" s="33"/>
    </row>
    <row r="442" ht="15.75" customHeight="1">
      <c r="B442" s="81" t="s">
        <v>552</v>
      </c>
      <c r="C442" s="29"/>
      <c r="D442" s="22">
        <f t="shared" ref="D442:D455" si="36">SUM(E442:Z442)</f>
        <v>2.39</v>
      </c>
      <c r="E442" s="87">
        <v>1.267</v>
      </c>
      <c r="F442" s="87">
        <v>1.123</v>
      </c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132"/>
      <c r="W442" s="132"/>
      <c r="X442" s="132"/>
      <c r="Y442" s="132"/>
      <c r="Z442" s="132"/>
      <c r="AA442" s="132"/>
      <c r="AB442" s="132"/>
      <c r="AC442" s="132"/>
      <c r="AD442" s="132"/>
      <c r="AE442" s="132"/>
      <c r="AF442" s="132"/>
      <c r="AG442" s="132"/>
      <c r="AH442" s="133"/>
      <c r="AI442" s="37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3"/>
      <c r="BQ442" s="33"/>
    </row>
    <row r="443" ht="15.75" customHeight="1">
      <c r="B443" s="20" t="s">
        <v>553</v>
      </c>
      <c r="C443" s="61"/>
      <c r="D443" s="22">
        <f t="shared" si="36"/>
        <v>4.314</v>
      </c>
      <c r="E443" s="87">
        <v>2.935</v>
      </c>
      <c r="F443" s="87">
        <v>0.809</v>
      </c>
      <c r="G443" s="87">
        <v>0.57</v>
      </c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132"/>
      <c r="W443" s="132"/>
      <c r="X443" s="132"/>
      <c r="Y443" s="132"/>
      <c r="Z443" s="132"/>
      <c r="AA443" s="132"/>
      <c r="AB443" s="132"/>
      <c r="AC443" s="132"/>
      <c r="AD443" s="132"/>
      <c r="AE443" s="132"/>
      <c r="AF443" s="132"/>
      <c r="AG443" s="132"/>
      <c r="AH443" s="133"/>
      <c r="AI443" s="37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3"/>
      <c r="BQ443" s="33"/>
    </row>
    <row r="444" ht="15.75" customHeight="1">
      <c r="B444" s="20" t="s">
        <v>554</v>
      </c>
      <c r="C444" s="29" t="s">
        <v>555</v>
      </c>
      <c r="D444" s="22">
        <f t="shared" si="36"/>
        <v>1.015</v>
      </c>
      <c r="E444" s="87">
        <v>1.015</v>
      </c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132"/>
      <c r="W444" s="132"/>
      <c r="X444" s="132"/>
      <c r="Y444" s="132"/>
      <c r="Z444" s="132"/>
      <c r="AA444" s="132"/>
      <c r="AB444" s="132"/>
      <c r="AC444" s="132"/>
      <c r="AD444" s="132"/>
      <c r="AE444" s="132"/>
      <c r="AF444" s="132"/>
      <c r="AG444" s="132"/>
      <c r="AH444" s="133"/>
      <c r="AI444" s="37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3"/>
      <c r="BQ444" s="33"/>
    </row>
    <row r="445" ht="15.75" customHeight="1">
      <c r="B445" s="81" t="s">
        <v>202</v>
      </c>
      <c r="C445" s="29" t="s">
        <v>556</v>
      </c>
      <c r="D445" s="22">
        <f t="shared" si="36"/>
        <v>3.123</v>
      </c>
      <c r="E445" s="87">
        <v>2.568</v>
      </c>
      <c r="F445" s="123">
        <v>0.555</v>
      </c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132"/>
      <c r="W445" s="132"/>
      <c r="X445" s="132"/>
      <c r="Y445" s="132"/>
      <c r="Z445" s="132"/>
      <c r="AA445" s="132"/>
      <c r="AB445" s="132"/>
      <c r="AC445" s="132"/>
      <c r="AD445" s="132"/>
      <c r="AE445" s="132"/>
      <c r="AF445" s="132"/>
      <c r="AG445" s="132"/>
      <c r="AH445" s="133"/>
      <c r="AI445" s="37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3"/>
      <c r="BQ445" s="33"/>
    </row>
    <row r="446" ht="15.75" customHeight="1">
      <c r="B446" s="20" t="s">
        <v>557</v>
      </c>
      <c r="C446" s="61"/>
      <c r="D446" s="22">
        <f t="shared" si="36"/>
        <v>5.313</v>
      </c>
      <c r="E446" s="87">
        <v>2.227</v>
      </c>
      <c r="F446" s="87">
        <v>1.767</v>
      </c>
      <c r="G446" s="87">
        <v>1.319</v>
      </c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132"/>
      <c r="W446" s="132"/>
      <c r="X446" s="132"/>
      <c r="Y446" s="132"/>
      <c r="Z446" s="132"/>
      <c r="AA446" s="132"/>
      <c r="AB446" s="132"/>
      <c r="AC446" s="132"/>
      <c r="AD446" s="132"/>
      <c r="AE446" s="132"/>
      <c r="AF446" s="132"/>
      <c r="AG446" s="132"/>
      <c r="AH446" s="133"/>
      <c r="AI446" s="37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3"/>
      <c r="BQ446" s="33"/>
    </row>
    <row r="447" ht="15.75" customHeight="1">
      <c r="B447" s="81" t="s">
        <v>558</v>
      </c>
      <c r="C447" s="29" t="s">
        <v>559</v>
      </c>
      <c r="D447" s="22">
        <f t="shared" si="36"/>
        <v>4.389</v>
      </c>
      <c r="E447" s="87">
        <v>4.02</v>
      </c>
      <c r="F447" s="123">
        <v>0.369</v>
      </c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132"/>
      <c r="W447" s="132"/>
      <c r="X447" s="132"/>
      <c r="Y447" s="132"/>
      <c r="Z447" s="132"/>
      <c r="AA447" s="132"/>
      <c r="AB447" s="132"/>
      <c r="AC447" s="132"/>
      <c r="AD447" s="132"/>
      <c r="AE447" s="132"/>
      <c r="AF447" s="132"/>
      <c r="AG447" s="132"/>
      <c r="AH447" s="133"/>
      <c r="AI447" s="37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3"/>
      <c r="BQ447" s="33"/>
    </row>
    <row r="448" ht="15.75" customHeight="1">
      <c r="B448" s="81" t="s">
        <v>204</v>
      </c>
      <c r="C448" s="29" t="s">
        <v>560</v>
      </c>
      <c r="D448" s="22">
        <f t="shared" si="36"/>
        <v>1.839</v>
      </c>
      <c r="E448" s="87">
        <v>1.38</v>
      </c>
      <c r="F448" s="87">
        <v>0.459</v>
      </c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132"/>
      <c r="W448" s="132"/>
      <c r="X448" s="132"/>
      <c r="Y448" s="132"/>
      <c r="Z448" s="132"/>
      <c r="AA448" s="132"/>
      <c r="AB448" s="132"/>
      <c r="AC448" s="132"/>
      <c r="AD448" s="132"/>
      <c r="AE448" s="132"/>
      <c r="AF448" s="132"/>
      <c r="AG448" s="132"/>
      <c r="AH448" s="133"/>
      <c r="AI448" s="37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3"/>
      <c r="BQ448" s="33"/>
    </row>
    <row r="449" ht="15.75" customHeight="1">
      <c r="B449" s="81" t="s">
        <v>561</v>
      </c>
      <c r="C449" s="92"/>
      <c r="D449" s="22">
        <f t="shared" si="36"/>
        <v>2.816</v>
      </c>
      <c r="E449" s="87">
        <v>2.816</v>
      </c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132"/>
      <c r="W449" s="132"/>
      <c r="X449" s="132"/>
      <c r="Y449" s="132"/>
      <c r="Z449" s="132"/>
      <c r="AA449" s="132"/>
      <c r="AB449" s="132"/>
      <c r="AC449" s="132"/>
      <c r="AD449" s="132"/>
      <c r="AE449" s="132"/>
      <c r="AF449" s="132"/>
      <c r="AG449" s="132"/>
      <c r="AH449" s="133"/>
      <c r="AI449" s="37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3"/>
      <c r="BQ449" s="33"/>
    </row>
    <row r="450" ht="15.75" customHeight="1">
      <c r="B450" s="81" t="s">
        <v>562</v>
      </c>
      <c r="C450" s="82" t="s">
        <v>563</v>
      </c>
      <c r="D450" s="22">
        <f t="shared" si="36"/>
        <v>0.246</v>
      </c>
      <c r="E450" s="87">
        <v>0.246</v>
      </c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132"/>
      <c r="W450" s="132"/>
      <c r="X450" s="132"/>
      <c r="Y450" s="132"/>
      <c r="Z450" s="132"/>
      <c r="AA450" s="132"/>
      <c r="AB450" s="132"/>
      <c r="AC450" s="132"/>
      <c r="AD450" s="132"/>
      <c r="AE450" s="132"/>
      <c r="AF450" s="132"/>
      <c r="AG450" s="132"/>
      <c r="AH450" s="133"/>
      <c r="AI450" s="37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3"/>
      <c r="BQ450" s="33"/>
    </row>
    <row r="451" ht="15.75" customHeight="1">
      <c r="B451" s="81" t="s">
        <v>138</v>
      </c>
      <c r="C451" s="64" t="s">
        <v>564</v>
      </c>
      <c r="D451" s="22">
        <f t="shared" si="36"/>
        <v>1.859</v>
      </c>
      <c r="E451" s="87">
        <v>1.859</v>
      </c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132"/>
      <c r="W451" s="132"/>
      <c r="X451" s="132"/>
      <c r="Y451" s="132"/>
      <c r="Z451" s="132"/>
      <c r="AA451" s="132"/>
      <c r="AB451" s="132"/>
      <c r="AC451" s="132"/>
      <c r="AD451" s="132"/>
      <c r="AE451" s="132"/>
      <c r="AF451" s="132"/>
      <c r="AG451" s="132"/>
      <c r="AH451" s="133"/>
      <c r="AI451" s="37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3"/>
      <c r="BQ451" s="33"/>
    </row>
    <row r="452" ht="15.75" customHeight="1">
      <c r="B452" s="81" t="s">
        <v>565</v>
      </c>
      <c r="C452" s="61"/>
      <c r="D452" s="22">
        <f t="shared" si="36"/>
        <v>1.522</v>
      </c>
      <c r="E452" s="87">
        <v>1.113</v>
      </c>
      <c r="F452" s="87">
        <v>0.409</v>
      </c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  <c r="AG452" s="132"/>
      <c r="AH452" s="133"/>
      <c r="AI452" s="37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3"/>
      <c r="BQ452" s="33"/>
    </row>
    <row r="453" ht="15.75" customHeight="1">
      <c r="B453" s="81" t="s">
        <v>566</v>
      </c>
      <c r="C453" s="64" t="s">
        <v>567</v>
      </c>
      <c r="D453" s="22">
        <f t="shared" si="36"/>
        <v>2.846</v>
      </c>
      <c r="E453" s="87">
        <v>2.846</v>
      </c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132"/>
      <c r="W453" s="132"/>
      <c r="X453" s="132"/>
      <c r="Y453" s="132"/>
      <c r="Z453" s="132"/>
      <c r="AA453" s="132"/>
      <c r="AB453" s="132"/>
      <c r="AC453" s="132"/>
      <c r="AD453" s="132"/>
      <c r="AE453" s="132"/>
      <c r="AF453" s="132"/>
      <c r="AG453" s="132"/>
      <c r="AH453" s="133"/>
      <c r="AI453" s="37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3"/>
      <c r="BQ453" s="33"/>
    </row>
    <row r="454" ht="15.75" customHeight="1">
      <c r="B454" s="20" t="s">
        <v>27</v>
      </c>
      <c r="C454" s="42"/>
      <c r="D454" s="22">
        <f t="shared" si="36"/>
        <v>1.012</v>
      </c>
      <c r="E454" s="87">
        <v>1.012</v>
      </c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132"/>
      <c r="W454" s="132"/>
      <c r="X454" s="132"/>
      <c r="Y454" s="132"/>
      <c r="Z454" s="132"/>
      <c r="AA454" s="132"/>
      <c r="AB454" s="132"/>
      <c r="AC454" s="132"/>
      <c r="AD454" s="132"/>
      <c r="AE454" s="132"/>
      <c r="AF454" s="132"/>
      <c r="AG454" s="132"/>
      <c r="AH454" s="133"/>
      <c r="AI454" s="37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3"/>
      <c r="BQ454" s="33"/>
    </row>
    <row r="455" ht="15.75" customHeight="1">
      <c r="B455" s="20" t="s">
        <v>186</v>
      </c>
      <c r="C455" s="42"/>
      <c r="D455" s="22">
        <f t="shared" si="36"/>
        <v>0.55</v>
      </c>
      <c r="E455" s="87">
        <v>0.34</v>
      </c>
      <c r="F455" s="87">
        <v>0.21</v>
      </c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132"/>
      <c r="W455" s="132"/>
      <c r="X455" s="132"/>
      <c r="Y455" s="132"/>
      <c r="Z455" s="132"/>
      <c r="AA455" s="132"/>
      <c r="AB455" s="132"/>
      <c r="AC455" s="132"/>
      <c r="AD455" s="132"/>
      <c r="AE455" s="132"/>
      <c r="AF455" s="132"/>
      <c r="AG455" s="132"/>
      <c r="AH455" s="133"/>
      <c r="AI455" s="37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3"/>
      <c r="BQ455" s="33"/>
    </row>
    <row r="456" ht="15.75" customHeight="1">
      <c r="B456" s="20"/>
      <c r="C456" s="42"/>
      <c r="D456" s="22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132"/>
      <c r="W456" s="132"/>
      <c r="X456" s="132"/>
      <c r="Y456" s="132"/>
      <c r="Z456" s="132"/>
      <c r="AA456" s="132"/>
      <c r="AB456" s="132"/>
      <c r="AC456" s="132"/>
      <c r="AD456" s="132"/>
      <c r="AE456" s="132"/>
      <c r="AF456" s="132"/>
      <c r="AG456" s="132"/>
      <c r="AH456" s="133"/>
      <c r="AI456" s="37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3"/>
      <c r="BQ456" s="33"/>
    </row>
    <row r="457" ht="15.75" customHeight="1">
      <c r="B457" s="34" t="s">
        <v>568</v>
      </c>
      <c r="C457" s="29"/>
      <c r="D457" s="22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132"/>
      <c r="W457" s="132"/>
      <c r="X457" s="132"/>
      <c r="Y457" s="132"/>
      <c r="Z457" s="132"/>
      <c r="AA457" s="132"/>
      <c r="AB457" s="132"/>
      <c r="AC457" s="132"/>
      <c r="AD457" s="132"/>
      <c r="AE457" s="132"/>
      <c r="AF457" s="132"/>
      <c r="AG457" s="132"/>
      <c r="AH457" s="133"/>
      <c r="AI457" s="37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3"/>
      <c r="BQ457" s="33"/>
    </row>
    <row r="458" ht="15.75" customHeight="1">
      <c r="B458" s="20" t="s">
        <v>264</v>
      </c>
      <c r="C458" s="29"/>
      <c r="D458" s="22">
        <f t="shared" ref="D458:D563" si="37">SUM(E458:Z458)</f>
        <v>1.17</v>
      </c>
      <c r="E458" s="87">
        <v>1.17</v>
      </c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132"/>
      <c r="W458" s="132"/>
      <c r="X458" s="132"/>
      <c r="Y458" s="132"/>
      <c r="Z458" s="132"/>
      <c r="AA458" s="132"/>
      <c r="AB458" s="132"/>
      <c r="AC458" s="132"/>
      <c r="AD458" s="132"/>
      <c r="AE458" s="132"/>
      <c r="AF458" s="132"/>
      <c r="AG458" s="132"/>
      <c r="AH458" s="133"/>
      <c r="AI458" s="37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3"/>
      <c r="BQ458" s="33"/>
    </row>
    <row r="459" ht="15.75" customHeight="1">
      <c r="B459" s="20" t="s">
        <v>569</v>
      </c>
      <c r="C459" s="29" t="s">
        <v>570</v>
      </c>
      <c r="D459" s="22">
        <f t="shared" si="37"/>
        <v>1.065</v>
      </c>
      <c r="E459" s="87">
        <v>1.065</v>
      </c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132"/>
      <c r="W459" s="132"/>
      <c r="X459" s="132"/>
      <c r="Y459" s="132"/>
      <c r="Z459" s="132"/>
      <c r="AA459" s="132"/>
      <c r="AB459" s="132"/>
      <c r="AC459" s="132"/>
      <c r="AD459" s="132"/>
      <c r="AE459" s="132"/>
      <c r="AF459" s="132"/>
      <c r="AG459" s="132"/>
      <c r="AH459" s="133"/>
      <c r="AI459" s="37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3"/>
      <c r="BQ459" s="33"/>
    </row>
    <row r="460" ht="15.75" customHeight="1">
      <c r="B460" s="20" t="s">
        <v>65</v>
      </c>
      <c r="C460" s="29" t="s">
        <v>571</v>
      </c>
      <c r="D460" s="22">
        <f t="shared" si="37"/>
        <v>1.35</v>
      </c>
      <c r="E460" s="87">
        <v>1.35</v>
      </c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132"/>
      <c r="W460" s="132"/>
      <c r="X460" s="132"/>
      <c r="Y460" s="132"/>
      <c r="Z460" s="132"/>
      <c r="AA460" s="132"/>
      <c r="AB460" s="132"/>
      <c r="AC460" s="132"/>
      <c r="AD460" s="132"/>
      <c r="AE460" s="132"/>
      <c r="AF460" s="132"/>
      <c r="AG460" s="132"/>
      <c r="AH460" s="133"/>
      <c r="AI460" s="37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3"/>
      <c r="BQ460" s="33"/>
    </row>
    <row r="461" ht="15.75" customHeight="1">
      <c r="B461" s="20" t="s">
        <v>67</v>
      </c>
      <c r="C461" s="29" t="s">
        <v>572</v>
      </c>
      <c r="D461" s="22">
        <f t="shared" si="37"/>
        <v>0</v>
      </c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132"/>
      <c r="W461" s="132"/>
      <c r="X461" s="132"/>
      <c r="Y461" s="132"/>
      <c r="Z461" s="132"/>
      <c r="AA461" s="132"/>
      <c r="AB461" s="132"/>
      <c r="AC461" s="132"/>
      <c r="AD461" s="132"/>
      <c r="AE461" s="132"/>
      <c r="AF461" s="132"/>
      <c r="AG461" s="132"/>
      <c r="AH461" s="133"/>
      <c r="AI461" s="37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3"/>
      <c r="BQ461" s="33"/>
    </row>
    <row r="462" ht="15.75" customHeight="1">
      <c r="B462" s="20" t="s">
        <v>266</v>
      </c>
      <c r="C462" s="29" t="s">
        <v>573</v>
      </c>
      <c r="D462" s="22">
        <f t="shared" si="37"/>
        <v>0.7</v>
      </c>
      <c r="E462" s="123">
        <v>0.7</v>
      </c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132"/>
      <c r="W462" s="132"/>
      <c r="X462" s="132"/>
      <c r="Y462" s="132"/>
      <c r="Z462" s="132"/>
      <c r="AA462" s="132"/>
      <c r="AB462" s="132"/>
      <c r="AC462" s="132"/>
      <c r="AD462" s="132"/>
      <c r="AE462" s="132"/>
      <c r="AF462" s="132"/>
      <c r="AG462" s="132"/>
      <c r="AH462" s="133"/>
      <c r="AI462" s="37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3"/>
      <c r="BQ462" s="33"/>
    </row>
    <row r="463" ht="15.75" customHeight="1">
      <c r="B463" s="20" t="s">
        <v>73</v>
      </c>
      <c r="C463" s="29" t="s">
        <v>574</v>
      </c>
      <c r="D463" s="22">
        <f t="shared" si="37"/>
        <v>1.1</v>
      </c>
      <c r="E463" s="87">
        <v>1.1</v>
      </c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132"/>
      <c r="W463" s="132"/>
      <c r="X463" s="132"/>
      <c r="Y463" s="132"/>
      <c r="Z463" s="132"/>
      <c r="AA463" s="132"/>
      <c r="AB463" s="132"/>
      <c r="AC463" s="132"/>
      <c r="AD463" s="132"/>
      <c r="AE463" s="132"/>
      <c r="AF463" s="132"/>
      <c r="AG463" s="132"/>
      <c r="AH463" s="133"/>
      <c r="AI463" s="37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3"/>
      <c r="BQ463" s="33"/>
    </row>
    <row r="464" ht="15.75" customHeight="1">
      <c r="B464" s="20" t="s">
        <v>75</v>
      </c>
      <c r="C464" s="29" t="s">
        <v>575</v>
      </c>
      <c r="D464" s="22">
        <f t="shared" si="37"/>
        <v>1.64</v>
      </c>
      <c r="E464" s="87">
        <v>0.24</v>
      </c>
      <c r="F464" s="87">
        <v>1.4</v>
      </c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132"/>
      <c r="W464" s="132"/>
      <c r="X464" s="132"/>
      <c r="Y464" s="132"/>
      <c r="Z464" s="132"/>
      <c r="AA464" s="132"/>
      <c r="AB464" s="132"/>
      <c r="AC464" s="132"/>
      <c r="AD464" s="132"/>
      <c r="AE464" s="132"/>
      <c r="AF464" s="132"/>
      <c r="AG464" s="132"/>
      <c r="AH464" s="133"/>
      <c r="AI464" s="37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3"/>
      <c r="BQ464" s="33"/>
    </row>
    <row r="465" ht="15.75" customHeight="1">
      <c r="B465" s="20" t="s">
        <v>77</v>
      </c>
      <c r="C465" s="29" t="s">
        <v>576</v>
      </c>
      <c r="D465" s="22">
        <f t="shared" si="37"/>
        <v>0.805</v>
      </c>
      <c r="E465" s="87">
        <v>0.805</v>
      </c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132"/>
      <c r="W465" s="132"/>
      <c r="X465" s="132"/>
      <c r="Y465" s="132"/>
      <c r="Z465" s="132"/>
      <c r="AA465" s="132"/>
      <c r="AB465" s="132"/>
      <c r="AC465" s="132"/>
      <c r="AD465" s="132"/>
      <c r="AE465" s="132"/>
      <c r="AF465" s="132"/>
      <c r="AG465" s="132"/>
      <c r="AH465" s="133"/>
      <c r="AI465" s="37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3"/>
      <c r="BQ465" s="33"/>
    </row>
    <row r="466" ht="15.75" customHeight="1">
      <c r="B466" s="20" t="s">
        <v>79</v>
      </c>
      <c r="C466" s="29" t="s">
        <v>577</v>
      </c>
      <c r="D466" s="22">
        <f t="shared" si="37"/>
        <v>0.04</v>
      </c>
      <c r="E466" s="87">
        <v>0.04</v>
      </c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132"/>
      <c r="W466" s="132"/>
      <c r="X466" s="132"/>
      <c r="Y466" s="132"/>
      <c r="Z466" s="132"/>
      <c r="AA466" s="132"/>
      <c r="AB466" s="132"/>
      <c r="AC466" s="132"/>
      <c r="AD466" s="132"/>
      <c r="AE466" s="132"/>
      <c r="AF466" s="132"/>
      <c r="AG466" s="132"/>
      <c r="AH466" s="133"/>
      <c r="AI466" s="37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3"/>
      <c r="BQ466" s="33"/>
    </row>
    <row r="467" ht="15.75" customHeight="1">
      <c r="B467" s="20" t="s">
        <v>83</v>
      </c>
      <c r="C467" s="29" t="s">
        <v>578</v>
      </c>
      <c r="D467" s="22">
        <f t="shared" si="37"/>
        <v>0.57</v>
      </c>
      <c r="E467" s="87">
        <v>0.57</v>
      </c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132"/>
      <c r="W467" s="132"/>
      <c r="X467" s="132"/>
      <c r="Y467" s="132"/>
      <c r="Z467" s="132"/>
      <c r="AA467" s="132"/>
      <c r="AB467" s="132"/>
      <c r="AC467" s="132"/>
      <c r="AD467" s="132"/>
      <c r="AE467" s="132"/>
      <c r="AF467" s="132"/>
      <c r="AG467" s="132"/>
      <c r="AH467" s="133"/>
      <c r="AI467" s="37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3"/>
      <c r="BQ467" s="33"/>
    </row>
    <row r="468" ht="15.75" customHeight="1">
      <c r="B468" s="20" t="s">
        <v>87</v>
      </c>
      <c r="C468" s="29" t="s">
        <v>579</v>
      </c>
      <c r="D468" s="22">
        <f t="shared" si="37"/>
        <v>1</v>
      </c>
      <c r="E468" s="87">
        <v>1.0</v>
      </c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132"/>
      <c r="W468" s="132"/>
      <c r="X468" s="132"/>
      <c r="Y468" s="132"/>
      <c r="Z468" s="132"/>
      <c r="AA468" s="132"/>
      <c r="AB468" s="132"/>
      <c r="AC468" s="132"/>
      <c r="AD468" s="132"/>
      <c r="AE468" s="132"/>
      <c r="AF468" s="132"/>
      <c r="AG468" s="132"/>
      <c r="AH468" s="133"/>
      <c r="AI468" s="37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3"/>
      <c r="BQ468" s="33"/>
    </row>
    <row r="469" ht="15.75" customHeight="1">
      <c r="B469" s="81" t="s">
        <v>91</v>
      </c>
      <c r="C469" s="79" t="s">
        <v>580</v>
      </c>
      <c r="D469" s="22">
        <f t="shared" si="37"/>
        <v>0</v>
      </c>
      <c r="E469" s="87">
        <v>0.0</v>
      </c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132"/>
      <c r="W469" s="132"/>
      <c r="X469" s="132"/>
      <c r="Y469" s="132"/>
      <c r="Z469" s="132"/>
      <c r="AA469" s="132"/>
      <c r="AB469" s="132"/>
      <c r="AC469" s="132"/>
      <c r="AD469" s="132"/>
      <c r="AE469" s="132"/>
      <c r="AF469" s="132"/>
      <c r="AG469" s="132"/>
      <c r="AH469" s="133"/>
      <c r="AI469" s="37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3"/>
      <c r="BQ469" s="33"/>
    </row>
    <row r="470" ht="15.75" customHeight="1">
      <c r="B470" s="20" t="s">
        <v>93</v>
      </c>
      <c r="C470" s="79" t="s">
        <v>581</v>
      </c>
      <c r="D470" s="22">
        <f t="shared" si="37"/>
        <v>0</v>
      </c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132"/>
      <c r="W470" s="132"/>
      <c r="X470" s="132"/>
      <c r="Y470" s="132"/>
      <c r="Z470" s="132"/>
      <c r="AA470" s="132"/>
      <c r="AB470" s="132"/>
      <c r="AC470" s="132"/>
      <c r="AD470" s="132"/>
      <c r="AE470" s="132"/>
      <c r="AF470" s="132"/>
      <c r="AG470" s="132"/>
      <c r="AH470" s="133"/>
      <c r="AI470" s="37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3"/>
      <c r="BQ470" s="33"/>
    </row>
    <row r="471" ht="15.75" customHeight="1">
      <c r="B471" s="20" t="s">
        <v>582</v>
      </c>
      <c r="C471" s="29" t="s">
        <v>583</v>
      </c>
      <c r="D471" s="22">
        <f t="shared" si="37"/>
        <v>0.03</v>
      </c>
      <c r="E471" s="87">
        <v>0.03</v>
      </c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132"/>
      <c r="W471" s="132"/>
      <c r="X471" s="132"/>
      <c r="Y471" s="132"/>
      <c r="Z471" s="132"/>
      <c r="AA471" s="132"/>
      <c r="AB471" s="132"/>
      <c r="AC471" s="132"/>
      <c r="AD471" s="132"/>
      <c r="AE471" s="132"/>
      <c r="AF471" s="132"/>
      <c r="AG471" s="132"/>
      <c r="AH471" s="133"/>
      <c r="AI471" s="37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3"/>
      <c r="BQ471" s="33"/>
    </row>
    <row r="472" ht="15.75" customHeight="1">
      <c r="B472" s="20" t="s">
        <v>100</v>
      </c>
      <c r="C472" s="29" t="s">
        <v>584</v>
      </c>
      <c r="D472" s="22">
        <f t="shared" si="37"/>
        <v>0</v>
      </c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132"/>
      <c r="W472" s="132"/>
      <c r="X472" s="132"/>
      <c r="Y472" s="132"/>
      <c r="Z472" s="132"/>
      <c r="AA472" s="132"/>
      <c r="AB472" s="132"/>
      <c r="AC472" s="132"/>
      <c r="AD472" s="132"/>
      <c r="AE472" s="132"/>
      <c r="AF472" s="132"/>
      <c r="AG472" s="132"/>
      <c r="AH472" s="133"/>
      <c r="AI472" s="37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3"/>
      <c r="BQ472" s="33"/>
    </row>
    <row r="473" ht="15.75" customHeight="1">
      <c r="B473" s="20"/>
      <c r="C473" s="29"/>
      <c r="D473" s="22">
        <f t="shared" si="37"/>
        <v>0</v>
      </c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132"/>
      <c r="W473" s="132"/>
      <c r="X473" s="132"/>
      <c r="Y473" s="132"/>
      <c r="Z473" s="132"/>
      <c r="AA473" s="132"/>
      <c r="AB473" s="132"/>
      <c r="AC473" s="132"/>
      <c r="AD473" s="132"/>
      <c r="AE473" s="132"/>
      <c r="AF473" s="132"/>
      <c r="AG473" s="132"/>
      <c r="AH473" s="133"/>
      <c r="AI473" s="37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3"/>
      <c r="BQ473" s="33"/>
    </row>
    <row r="474" ht="15.75" customHeight="1">
      <c r="B474" s="34" t="s">
        <v>585</v>
      </c>
      <c r="C474" s="42"/>
      <c r="D474" s="22">
        <f t="shared" si="37"/>
        <v>0</v>
      </c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132"/>
      <c r="W474" s="132"/>
      <c r="X474" s="132"/>
      <c r="Y474" s="132"/>
      <c r="Z474" s="132"/>
      <c r="AA474" s="132"/>
      <c r="AB474" s="132"/>
      <c r="AC474" s="132"/>
      <c r="AD474" s="132"/>
      <c r="AE474" s="132"/>
      <c r="AF474" s="132"/>
      <c r="AG474" s="132"/>
      <c r="AH474" s="133"/>
      <c r="AI474" s="37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3"/>
      <c r="BQ474" s="33"/>
    </row>
    <row r="475" ht="15.75" customHeight="1">
      <c r="B475" s="20" t="s">
        <v>554</v>
      </c>
      <c r="C475" s="29" t="s">
        <v>586</v>
      </c>
      <c r="D475" s="22">
        <f t="shared" si="37"/>
        <v>0</v>
      </c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132"/>
      <c r="W475" s="132"/>
      <c r="X475" s="132"/>
      <c r="Y475" s="132"/>
      <c r="Z475" s="132"/>
      <c r="AA475" s="132"/>
      <c r="AB475" s="132"/>
      <c r="AC475" s="132"/>
      <c r="AD475" s="132"/>
      <c r="AE475" s="132"/>
      <c r="AF475" s="132"/>
      <c r="AG475" s="132"/>
      <c r="AH475" s="133"/>
      <c r="AI475" s="37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3"/>
      <c r="BQ475" s="33"/>
    </row>
    <row r="476" ht="15.75" customHeight="1">
      <c r="B476" s="20" t="s">
        <v>587</v>
      </c>
      <c r="C476" s="29" t="s">
        <v>588</v>
      </c>
      <c r="D476" s="22">
        <f t="shared" si="37"/>
        <v>0</v>
      </c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132"/>
      <c r="W476" s="132"/>
      <c r="X476" s="132"/>
      <c r="Y476" s="132"/>
      <c r="Z476" s="132"/>
      <c r="AA476" s="132"/>
      <c r="AB476" s="132"/>
      <c r="AC476" s="132"/>
      <c r="AD476" s="132"/>
      <c r="AE476" s="132"/>
      <c r="AF476" s="132"/>
      <c r="AG476" s="132"/>
      <c r="AH476" s="133"/>
      <c r="AI476" s="37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3"/>
      <c r="BQ476" s="33"/>
    </row>
    <row r="477" ht="15.75" customHeight="1">
      <c r="B477" s="20" t="s">
        <v>589</v>
      </c>
      <c r="C477" s="29" t="s">
        <v>590</v>
      </c>
      <c r="D477" s="22">
        <f t="shared" si="37"/>
        <v>0</v>
      </c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132"/>
      <c r="W477" s="132"/>
      <c r="X477" s="132"/>
      <c r="Y477" s="132"/>
      <c r="Z477" s="132"/>
      <c r="AA477" s="132"/>
      <c r="AB477" s="132"/>
      <c r="AC477" s="132"/>
      <c r="AD477" s="132"/>
      <c r="AE477" s="132"/>
      <c r="AF477" s="132"/>
      <c r="AG477" s="132"/>
      <c r="AH477" s="133"/>
      <c r="AI477" s="37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3"/>
      <c r="BQ477" s="33"/>
    </row>
    <row r="478" ht="15.75" customHeight="1">
      <c r="B478" s="148"/>
      <c r="C478" s="29"/>
      <c r="D478" s="22">
        <f t="shared" si="37"/>
        <v>0</v>
      </c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132"/>
      <c r="W478" s="132"/>
      <c r="X478" s="132"/>
      <c r="Y478" s="132"/>
      <c r="Z478" s="132"/>
      <c r="AA478" s="132"/>
      <c r="AB478" s="132"/>
      <c r="AC478" s="132"/>
      <c r="AD478" s="132"/>
      <c r="AE478" s="132"/>
      <c r="AF478" s="132"/>
      <c r="AG478" s="132"/>
      <c r="AH478" s="133"/>
      <c r="AI478" s="37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3"/>
      <c r="BQ478" s="33"/>
    </row>
    <row r="479" ht="15.75" customHeight="1">
      <c r="B479" s="34" t="s">
        <v>591</v>
      </c>
      <c r="C479" s="29"/>
      <c r="D479" s="22">
        <f t="shared" si="37"/>
        <v>0</v>
      </c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132"/>
      <c r="W479" s="132"/>
      <c r="X479" s="132"/>
      <c r="Y479" s="132"/>
      <c r="Z479" s="132"/>
      <c r="AA479" s="132"/>
      <c r="AB479" s="132"/>
      <c r="AC479" s="132"/>
      <c r="AD479" s="132"/>
      <c r="AE479" s="132"/>
      <c r="AF479" s="132"/>
      <c r="AG479" s="132"/>
      <c r="AH479" s="133"/>
      <c r="AI479" s="37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3"/>
      <c r="BQ479" s="33"/>
    </row>
    <row r="480" ht="15.75" customHeight="1">
      <c r="B480" s="149" t="s">
        <v>405</v>
      </c>
      <c r="C480" s="92"/>
      <c r="D480" s="22">
        <f t="shared" si="37"/>
        <v>0</v>
      </c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132"/>
      <c r="W480" s="132"/>
      <c r="X480" s="132"/>
      <c r="Y480" s="132"/>
      <c r="Z480" s="132"/>
      <c r="AA480" s="132"/>
      <c r="AB480" s="132"/>
      <c r="AC480" s="132"/>
      <c r="AD480" s="132"/>
      <c r="AE480" s="132"/>
      <c r="AF480" s="132"/>
      <c r="AG480" s="132"/>
      <c r="AH480" s="133"/>
      <c r="AI480" s="37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3"/>
      <c r="BQ480" s="33"/>
    </row>
    <row r="481" ht="15.75" customHeight="1">
      <c r="B481" s="20" t="s">
        <v>592</v>
      </c>
      <c r="C481" s="150" t="s">
        <v>593</v>
      </c>
      <c r="D481" s="22">
        <f t="shared" si="37"/>
        <v>0</v>
      </c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132"/>
      <c r="W481" s="132"/>
      <c r="X481" s="132"/>
      <c r="Y481" s="132"/>
      <c r="Z481" s="132"/>
      <c r="AA481" s="132"/>
      <c r="AB481" s="132"/>
      <c r="AC481" s="132"/>
      <c r="AD481" s="132"/>
      <c r="AE481" s="132"/>
      <c r="AF481" s="132"/>
      <c r="AG481" s="132"/>
      <c r="AH481" s="133"/>
      <c r="AI481" s="37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3"/>
      <c r="BQ481" s="33"/>
    </row>
    <row r="482" ht="15.75" customHeight="1">
      <c r="B482" s="81"/>
      <c r="C482" s="151"/>
      <c r="D482" s="22">
        <f t="shared" si="37"/>
        <v>0</v>
      </c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132"/>
      <c r="W482" s="132"/>
      <c r="X482" s="132"/>
      <c r="Y482" s="132"/>
      <c r="Z482" s="132"/>
      <c r="AA482" s="132"/>
      <c r="AB482" s="132"/>
      <c r="AC482" s="132"/>
      <c r="AD482" s="132"/>
      <c r="AE482" s="132"/>
      <c r="AF482" s="132"/>
      <c r="AG482" s="132"/>
      <c r="AH482" s="133"/>
      <c r="AI482" s="37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3"/>
      <c r="BQ482" s="33"/>
    </row>
    <row r="483" ht="15.75" customHeight="1">
      <c r="B483" s="20"/>
      <c r="C483" s="152"/>
      <c r="D483" s="22">
        <f t="shared" si="37"/>
        <v>0</v>
      </c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132"/>
      <c r="W483" s="132"/>
      <c r="X483" s="132"/>
      <c r="Y483" s="132"/>
      <c r="Z483" s="132"/>
      <c r="AA483" s="132"/>
      <c r="AB483" s="132"/>
      <c r="AC483" s="132"/>
      <c r="AD483" s="132"/>
      <c r="AE483" s="132"/>
      <c r="AF483" s="132"/>
      <c r="AG483" s="132"/>
      <c r="AH483" s="133"/>
      <c r="AI483" s="37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3"/>
      <c r="BQ483" s="33"/>
    </row>
    <row r="484" ht="15.75" customHeight="1">
      <c r="B484" s="34" t="s">
        <v>594</v>
      </c>
      <c r="C484" s="21"/>
      <c r="D484" s="22">
        <f t="shared" si="37"/>
        <v>0</v>
      </c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132"/>
      <c r="W484" s="132"/>
      <c r="X484" s="132"/>
      <c r="Y484" s="132"/>
      <c r="Z484" s="132"/>
      <c r="AA484" s="132"/>
      <c r="AB484" s="132"/>
      <c r="AC484" s="132"/>
      <c r="AD484" s="132"/>
      <c r="AE484" s="132"/>
      <c r="AF484" s="132"/>
      <c r="AG484" s="132"/>
      <c r="AH484" s="133"/>
      <c r="AI484" s="37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3"/>
      <c r="BQ484" s="33"/>
    </row>
    <row r="485" ht="15.75" customHeight="1">
      <c r="B485" s="81" t="s">
        <v>589</v>
      </c>
      <c r="C485" s="45"/>
      <c r="D485" s="22">
        <f t="shared" si="37"/>
        <v>0</v>
      </c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132"/>
      <c r="W485" s="132"/>
      <c r="X485" s="132"/>
      <c r="Y485" s="132"/>
      <c r="Z485" s="132"/>
      <c r="AA485" s="132"/>
      <c r="AB485" s="132"/>
      <c r="AC485" s="132"/>
      <c r="AD485" s="132"/>
      <c r="AE485" s="132"/>
      <c r="AF485" s="132"/>
      <c r="AG485" s="132"/>
      <c r="AH485" s="133"/>
      <c r="AI485" s="37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3"/>
      <c r="BQ485" s="33"/>
    </row>
    <row r="486" ht="15.75" customHeight="1">
      <c r="B486" s="106"/>
      <c r="C486" s="45"/>
      <c r="D486" s="22">
        <f t="shared" si="37"/>
        <v>0</v>
      </c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132"/>
      <c r="W486" s="132"/>
      <c r="X486" s="132"/>
      <c r="Y486" s="132"/>
      <c r="Z486" s="132"/>
      <c r="AA486" s="132"/>
      <c r="AB486" s="132"/>
      <c r="AC486" s="132"/>
      <c r="AD486" s="132"/>
      <c r="AE486" s="132"/>
      <c r="AF486" s="132"/>
      <c r="AG486" s="132"/>
      <c r="AH486" s="133"/>
      <c r="AI486" s="37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3"/>
      <c r="BQ486" s="33"/>
    </row>
    <row r="487" ht="15.75" customHeight="1">
      <c r="B487" s="34" t="s">
        <v>595</v>
      </c>
      <c r="C487" s="45"/>
      <c r="D487" s="22">
        <f t="shared" si="37"/>
        <v>0</v>
      </c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132"/>
      <c r="W487" s="132"/>
      <c r="X487" s="132"/>
      <c r="Y487" s="132"/>
      <c r="Z487" s="132"/>
      <c r="AA487" s="132"/>
      <c r="AB487" s="132"/>
      <c r="AC487" s="132"/>
      <c r="AD487" s="132"/>
      <c r="AE487" s="132"/>
      <c r="AF487" s="132"/>
      <c r="AG487" s="132"/>
      <c r="AH487" s="133"/>
      <c r="AI487" s="37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3"/>
      <c r="BQ487" s="33"/>
    </row>
    <row r="488" ht="15.75" customHeight="1">
      <c r="B488" s="20" t="s">
        <v>596</v>
      </c>
      <c r="C488" s="29" t="s">
        <v>597</v>
      </c>
      <c r="D488" s="22">
        <f t="shared" si="37"/>
        <v>0</v>
      </c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33"/>
      <c r="AI488" s="37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3"/>
      <c r="BQ488" s="33"/>
    </row>
    <row r="489" ht="15.75" customHeight="1">
      <c r="B489" s="98"/>
      <c r="C489" s="42"/>
      <c r="D489" s="22">
        <f t="shared" si="37"/>
        <v>0</v>
      </c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132"/>
      <c r="W489" s="132"/>
      <c r="X489" s="132"/>
      <c r="Y489" s="132"/>
      <c r="Z489" s="132"/>
      <c r="AA489" s="132"/>
      <c r="AB489" s="132"/>
      <c r="AC489" s="132"/>
      <c r="AD489" s="132"/>
      <c r="AE489" s="132"/>
      <c r="AF489" s="132"/>
      <c r="AG489" s="132"/>
      <c r="AH489" s="133"/>
      <c r="AI489" s="37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3"/>
      <c r="BQ489" s="33"/>
    </row>
    <row r="490" ht="15.75" customHeight="1">
      <c r="B490" s="20"/>
      <c r="C490" s="29"/>
      <c r="D490" s="22">
        <f t="shared" si="37"/>
        <v>0</v>
      </c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132"/>
      <c r="W490" s="132"/>
      <c r="X490" s="132"/>
      <c r="Y490" s="132"/>
      <c r="Z490" s="132"/>
      <c r="AA490" s="132"/>
      <c r="AB490" s="132"/>
      <c r="AC490" s="132"/>
      <c r="AD490" s="132"/>
      <c r="AE490" s="132"/>
      <c r="AF490" s="132"/>
      <c r="AG490" s="132"/>
      <c r="AH490" s="133"/>
      <c r="AI490" s="37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3"/>
      <c r="BQ490" s="33"/>
    </row>
    <row r="491" ht="15.75" customHeight="1">
      <c r="B491" s="34" t="s">
        <v>598</v>
      </c>
      <c r="C491" s="42"/>
      <c r="D491" s="22">
        <f t="shared" si="37"/>
        <v>0</v>
      </c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132"/>
      <c r="W491" s="132"/>
      <c r="X491" s="132"/>
      <c r="Y491" s="132"/>
      <c r="Z491" s="132"/>
      <c r="AA491" s="132"/>
      <c r="AB491" s="132"/>
      <c r="AC491" s="132"/>
      <c r="AD491" s="132"/>
      <c r="AE491" s="132"/>
      <c r="AF491" s="132"/>
      <c r="AG491" s="132"/>
      <c r="AH491" s="133"/>
      <c r="AI491" s="37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3"/>
      <c r="BQ491" s="33"/>
    </row>
    <row r="492" ht="15.75" customHeight="1">
      <c r="B492" s="20"/>
      <c r="C492" s="42"/>
      <c r="D492" s="22">
        <f t="shared" si="37"/>
        <v>0</v>
      </c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132"/>
      <c r="W492" s="132"/>
      <c r="X492" s="132"/>
      <c r="Y492" s="132"/>
      <c r="Z492" s="132"/>
      <c r="AA492" s="132"/>
      <c r="AB492" s="132"/>
      <c r="AC492" s="132"/>
      <c r="AD492" s="132"/>
      <c r="AE492" s="132"/>
      <c r="AF492" s="132"/>
      <c r="AG492" s="132"/>
      <c r="AH492" s="133"/>
      <c r="AI492" s="37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3"/>
      <c r="BQ492" s="33"/>
    </row>
    <row r="493" ht="15.75" customHeight="1">
      <c r="B493" s="20" t="s">
        <v>69</v>
      </c>
      <c r="C493" s="48"/>
      <c r="D493" s="22">
        <f t="shared" si="37"/>
        <v>0</v>
      </c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132"/>
      <c r="W493" s="132"/>
      <c r="X493" s="132"/>
      <c r="Y493" s="132"/>
      <c r="Z493" s="132"/>
      <c r="AA493" s="132"/>
      <c r="AB493" s="132"/>
      <c r="AC493" s="132"/>
      <c r="AD493" s="132"/>
      <c r="AE493" s="132"/>
      <c r="AF493" s="132"/>
      <c r="AG493" s="132"/>
      <c r="AH493" s="133"/>
      <c r="AI493" s="37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3"/>
      <c r="BQ493" s="33"/>
    </row>
    <row r="494" ht="15.75" customHeight="1">
      <c r="B494" s="20" t="s">
        <v>513</v>
      </c>
      <c r="C494" s="42"/>
      <c r="D494" s="22">
        <f t="shared" si="37"/>
        <v>0</v>
      </c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3"/>
      <c r="AI494" s="37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3"/>
      <c r="BQ494" s="33"/>
    </row>
    <row r="495" ht="15.75" customHeight="1">
      <c r="B495" s="20" t="s">
        <v>77</v>
      </c>
      <c r="C495" s="42"/>
      <c r="D495" s="22">
        <f t="shared" si="37"/>
        <v>0</v>
      </c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132"/>
      <c r="W495" s="132"/>
      <c r="X495" s="132"/>
      <c r="Y495" s="132"/>
      <c r="Z495" s="132"/>
      <c r="AA495" s="132"/>
      <c r="AB495" s="132"/>
      <c r="AC495" s="132"/>
      <c r="AD495" s="132"/>
      <c r="AE495" s="132"/>
      <c r="AF495" s="132"/>
      <c r="AG495" s="132"/>
      <c r="AH495" s="133"/>
      <c r="AI495" s="37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3"/>
      <c r="BQ495" s="33"/>
    </row>
    <row r="496" ht="15.75" customHeight="1">
      <c r="B496" s="81" t="s">
        <v>599</v>
      </c>
      <c r="C496" s="42"/>
      <c r="D496" s="22">
        <f t="shared" si="37"/>
        <v>0</v>
      </c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132"/>
      <c r="W496" s="132"/>
      <c r="X496" s="132"/>
      <c r="Y496" s="132"/>
      <c r="Z496" s="132"/>
      <c r="AA496" s="132"/>
      <c r="AB496" s="132"/>
      <c r="AC496" s="132"/>
      <c r="AD496" s="132"/>
      <c r="AE496" s="132"/>
      <c r="AF496" s="132"/>
      <c r="AG496" s="132"/>
      <c r="AH496" s="133"/>
      <c r="AI496" s="37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3"/>
      <c r="BQ496" s="33"/>
    </row>
    <row r="497" ht="15.75" customHeight="1">
      <c r="B497" s="20"/>
      <c r="C497" s="48"/>
      <c r="D497" s="22">
        <f t="shared" si="37"/>
        <v>0</v>
      </c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132"/>
      <c r="W497" s="132"/>
      <c r="X497" s="132"/>
      <c r="Y497" s="132"/>
      <c r="Z497" s="132"/>
      <c r="AA497" s="132"/>
      <c r="AB497" s="132"/>
      <c r="AC497" s="132"/>
      <c r="AD497" s="132"/>
      <c r="AE497" s="132"/>
      <c r="AF497" s="132"/>
      <c r="AG497" s="132"/>
      <c r="AH497" s="133"/>
      <c r="AI497" s="37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3"/>
      <c r="BQ497" s="33"/>
    </row>
    <row r="498" ht="15.75" customHeight="1">
      <c r="B498" s="34" t="s">
        <v>600</v>
      </c>
      <c r="C498" s="92"/>
      <c r="D498" s="22">
        <f t="shared" si="37"/>
        <v>0</v>
      </c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132"/>
      <c r="W498" s="132"/>
      <c r="X498" s="132"/>
      <c r="Y498" s="132"/>
      <c r="Z498" s="132"/>
      <c r="AA498" s="132"/>
      <c r="AB498" s="132"/>
      <c r="AC498" s="132"/>
      <c r="AD498" s="132"/>
      <c r="AE498" s="132"/>
      <c r="AF498" s="132"/>
      <c r="AG498" s="132"/>
      <c r="AH498" s="133"/>
      <c r="AI498" s="37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3"/>
      <c r="BQ498" s="33"/>
    </row>
    <row r="499" ht="15.75" customHeight="1">
      <c r="B499" s="20" t="s">
        <v>202</v>
      </c>
      <c r="C499" s="42"/>
      <c r="D499" s="22">
        <f t="shared" si="37"/>
        <v>0</v>
      </c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132"/>
      <c r="W499" s="132"/>
      <c r="X499" s="132"/>
      <c r="Y499" s="132"/>
      <c r="Z499" s="132"/>
      <c r="AA499" s="132"/>
      <c r="AB499" s="132"/>
      <c r="AC499" s="132"/>
      <c r="AD499" s="132"/>
      <c r="AE499" s="132"/>
      <c r="AF499" s="132"/>
      <c r="AG499" s="132"/>
      <c r="AH499" s="133"/>
      <c r="AI499" s="37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3"/>
      <c r="BQ499" s="33"/>
    </row>
    <row r="500" ht="15.75" customHeight="1">
      <c r="B500" s="20"/>
      <c r="C500" s="61"/>
      <c r="D500" s="22">
        <f t="shared" si="37"/>
        <v>0</v>
      </c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132"/>
      <c r="W500" s="132"/>
      <c r="X500" s="132"/>
      <c r="Y500" s="132"/>
      <c r="Z500" s="132"/>
      <c r="AA500" s="132"/>
      <c r="AB500" s="132"/>
      <c r="AC500" s="132"/>
      <c r="AD500" s="132"/>
      <c r="AE500" s="132"/>
      <c r="AF500" s="132"/>
      <c r="AG500" s="132"/>
      <c r="AH500" s="133"/>
      <c r="AI500" s="37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3"/>
      <c r="BQ500" s="33"/>
    </row>
    <row r="501" ht="15.75" customHeight="1">
      <c r="B501" s="34" t="s">
        <v>601</v>
      </c>
      <c r="C501" s="42"/>
      <c r="D501" s="22">
        <f t="shared" si="37"/>
        <v>0</v>
      </c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132"/>
      <c r="W501" s="132"/>
      <c r="X501" s="132"/>
      <c r="Y501" s="132"/>
      <c r="Z501" s="132"/>
      <c r="AA501" s="132"/>
      <c r="AB501" s="132"/>
      <c r="AC501" s="132"/>
      <c r="AD501" s="132"/>
      <c r="AE501" s="132"/>
      <c r="AF501" s="132"/>
      <c r="AG501" s="132"/>
      <c r="AH501" s="133"/>
      <c r="AI501" s="37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3"/>
      <c r="BQ501" s="33"/>
    </row>
    <row r="502" ht="15.75" customHeight="1">
      <c r="B502" s="20" t="s">
        <v>602</v>
      </c>
      <c r="C502" s="29"/>
      <c r="D502" s="22">
        <f t="shared" si="37"/>
        <v>0</v>
      </c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132"/>
      <c r="W502" s="132"/>
      <c r="X502" s="132"/>
      <c r="Y502" s="132"/>
      <c r="Z502" s="132"/>
      <c r="AA502" s="132"/>
      <c r="AB502" s="132"/>
      <c r="AC502" s="132"/>
      <c r="AD502" s="132"/>
      <c r="AE502" s="132"/>
      <c r="AF502" s="132"/>
      <c r="AG502" s="132"/>
      <c r="AH502" s="133"/>
      <c r="AI502" s="37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3"/>
      <c r="BQ502" s="33"/>
    </row>
    <row r="503" ht="15.75" customHeight="1">
      <c r="B503" s="20" t="s">
        <v>603</v>
      </c>
      <c r="C503" s="29"/>
      <c r="D503" s="22">
        <f t="shared" si="37"/>
        <v>0</v>
      </c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132"/>
      <c r="W503" s="132"/>
      <c r="X503" s="132"/>
      <c r="Y503" s="132"/>
      <c r="Z503" s="132"/>
      <c r="AA503" s="132"/>
      <c r="AB503" s="132"/>
      <c r="AC503" s="132"/>
      <c r="AD503" s="132"/>
      <c r="AE503" s="132"/>
      <c r="AF503" s="132"/>
      <c r="AG503" s="132"/>
      <c r="AH503" s="133"/>
      <c r="AI503" s="37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3"/>
      <c r="BQ503" s="33"/>
    </row>
    <row r="504" ht="15.75" customHeight="1">
      <c r="B504" s="20"/>
      <c r="C504" s="21"/>
      <c r="D504" s="22">
        <f t="shared" si="37"/>
        <v>0</v>
      </c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132"/>
      <c r="W504" s="132"/>
      <c r="X504" s="132"/>
      <c r="Y504" s="132"/>
      <c r="Z504" s="132"/>
      <c r="AA504" s="132"/>
      <c r="AB504" s="132"/>
      <c r="AC504" s="132"/>
      <c r="AD504" s="132"/>
      <c r="AE504" s="132"/>
      <c r="AF504" s="132"/>
      <c r="AG504" s="132"/>
      <c r="AH504" s="133"/>
      <c r="AI504" s="37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3"/>
      <c r="BQ504" s="33"/>
    </row>
    <row r="505" ht="15.75" customHeight="1">
      <c r="B505" s="34" t="s">
        <v>604</v>
      </c>
      <c r="C505" s="21"/>
      <c r="D505" s="22">
        <f t="shared" si="37"/>
        <v>0</v>
      </c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132"/>
      <c r="W505" s="132"/>
      <c r="X505" s="132"/>
      <c r="Y505" s="132"/>
      <c r="Z505" s="132"/>
      <c r="AA505" s="132"/>
      <c r="AB505" s="132"/>
      <c r="AC505" s="132"/>
      <c r="AD505" s="132"/>
      <c r="AE505" s="132"/>
      <c r="AF505" s="132"/>
      <c r="AG505" s="132"/>
      <c r="AH505" s="133"/>
      <c r="AI505" s="37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3"/>
      <c r="BQ505" s="33"/>
    </row>
    <row r="506" ht="15.75" customHeight="1">
      <c r="B506" s="20" t="s">
        <v>511</v>
      </c>
      <c r="C506" s="29"/>
      <c r="D506" s="22">
        <f t="shared" si="37"/>
        <v>0.63</v>
      </c>
      <c r="E506" s="87">
        <v>0.63</v>
      </c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132"/>
      <c r="W506" s="132"/>
      <c r="X506" s="132"/>
      <c r="Y506" s="132"/>
      <c r="Z506" s="132"/>
      <c r="AA506" s="132"/>
      <c r="AB506" s="132"/>
      <c r="AC506" s="132"/>
      <c r="AD506" s="132"/>
      <c r="AE506" s="132"/>
      <c r="AF506" s="132"/>
      <c r="AG506" s="132"/>
      <c r="AH506" s="133"/>
      <c r="AI506" s="37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3"/>
      <c r="BQ506" s="33"/>
    </row>
    <row r="507" ht="15.75" customHeight="1">
      <c r="B507" s="20" t="s">
        <v>514</v>
      </c>
      <c r="C507" s="29"/>
      <c r="D507" s="22">
        <f t="shared" si="37"/>
        <v>0.41</v>
      </c>
      <c r="E507" s="87">
        <v>0.41</v>
      </c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132"/>
      <c r="W507" s="132"/>
      <c r="X507" s="132"/>
      <c r="Y507" s="132"/>
      <c r="Z507" s="132"/>
      <c r="AA507" s="132"/>
      <c r="AB507" s="132"/>
      <c r="AC507" s="132"/>
      <c r="AD507" s="132"/>
      <c r="AE507" s="132"/>
      <c r="AF507" s="132"/>
      <c r="AG507" s="132"/>
      <c r="AH507" s="133"/>
      <c r="AI507" s="37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3"/>
      <c r="BQ507" s="33"/>
    </row>
    <row r="508" ht="15.75" customHeight="1">
      <c r="B508" s="20" t="s">
        <v>605</v>
      </c>
      <c r="C508" s="79"/>
      <c r="D508" s="22">
        <f t="shared" si="37"/>
        <v>2</v>
      </c>
      <c r="E508" s="87">
        <v>2.0</v>
      </c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132"/>
      <c r="W508" s="132"/>
      <c r="X508" s="132"/>
      <c r="Y508" s="132"/>
      <c r="Z508" s="132"/>
      <c r="AA508" s="132"/>
      <c r="AB508" s="132"/>
      <c r="AC508" s="132"/>
      <c r="AD508" s="132"/>
      <c r="AE508" s="132"/>
      <c r="AF508" s="132"/>
      <c r="AG508" s="132"/>
      <c r="AH508" s="133"/>
      <c r="AI508" s="37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3"/>
      <c r="BQ508" s="33"/>
    </row>
    <row r="509" ht="15.75" customHeight="1">
      <c r="B509" s="20" t="s">
        <v>606</v>
      </c>
      <c r="C509" s="118"/>
      <c r="D509" s="22">
        <f t="shared" si="37"/>
        <v>0.914</v>
      </c>
      <c r="E509" s="87">
        <v>0.914</v>
      </c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132"/>
      <c r="W509" s="132"/>
      <c r="X509" s="132"/>
      <c r="Y509" s="132"/>
      <c r="Z509" s="132"/>
      <c r="AA509" s="132"/>
      <c r="AB509" s="132"/>
      <c r="AC509" s="132"/>
      <c r="AD509" s="132"/>
      <c r="AE509" s="132"/>
      <c r="AF509" s="132"/>
      <c r="AG509" s="132"/>
      <c r="AH509" s="133"/>
      <c r="AI509" s="37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3"/>
      <c r="BQ509" s="33"/>
    </row>
    <row r="510" ht="15.75" customHeight="1">
      <c r="B510" s="20" t="s">
        <v>607</v>
      </c>
      <c r="C510" s="79"/>
      <c r="D510" s="22">
        <f t="shared" si="37"/>
        <v>0.44</v>
      </c>
      <c r="E510" s="87">
        <v>0.44</v>
      </c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132"/>
      <c r="W510" s="132"/>
      <c r="X510" s="132"/>
      <c r="Y510" s="132"/>
      <c r="Z510" s="132"/>
      <c r="AA510" s="132"/>
      <c r="AB510" s="132"/>
      <c r="AC510" s="132"/>
      <c r="AD510" s="132"/>
      <c r="AE510" s="132"/>
      <c r="AF510" s="132"/>
      <c r="AG510" s="132"/>
      <c r="AH510" s="133"/>
      <c r="AI510" s="37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3"/>
      <c r="BQ510" s="33"/>
    </row>
    <row r="511" ht="15.75" customHeight="1">
      <c r="B511" s="20" t="s">
        <v>608</v>
      </c>
      <c r="C511" s="79"/>
      <c r="D511" s="22">
        <f t="shared" si="37"/>
        <v>0.9</v>
      </c>
      <c r="E511" s="87">
        <v>0.9</v>
      </c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  <c r="AG511" s="132"/>
      <c r="AH511" s="133"/>
      <c r="AI511" s="37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3"/>
      <c r="BQ511" s="33"/>
    </row>
    <row r="512" ht="15.75" customHeight="1">
      <c r="B512" s="35" t="s">
        <v>274</v>
      </c>
      <c r="C512" s="82" t="s">
        <v>609</v>
      </c>
      <c r="D512" s="22">
        <f t="shared" si="37"/>
        <v>0</v>
      </c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132"/>
      <c r="W512" s="132"/>
      <c r="X512" s="132"/>
      <c r="Y512" s="132"/>
      <c r="Z512" s="132"/>
      <c r="AA512" s="132"/>
      <c r="AB512" s="132"/>
      <c r="AC512" s="132"/>
      <c r="AD512" s="132"/>
      <c r="AE512" s="132"/>
      <c r="AF512" s="132"/>
      <c r="AG512" s="132"/>
      <c r="AH512" s="133"/>
      <c r="AI512" s="37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3"/>
      <c r="BQ512" s="33"/>
    </row>
    <row r="513" ht="15.75" customHeight="1">
      <c r="B513" s="20"/>
      <c r="C513" s="29"/>
      <c r="D513" s="22">
        <f t="shared" si="37"/>
        <v>0</v>
      </c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132"/>
      <c r="W513" s="132"/>
      <c r="X513" s="132"/>
      <c r="Y513" s="132"/>
      <c r="Z513" s="132"/>
      <c r="AA513" s="132"/>
      <c r="AB513" s="132"/>
      <c r="AC513" s="132"/>
      <c r="AD513" s="132"/>
      <c r="AE513" s="132"/>
      <c r="AF513" s="132"/>
      <c r="AG513" s="132"/>
      <c r="AH513" s="133"/>
      <c r="AI513" s="37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3"/>
      <c r="BQ513" s="33"/>
    </row>
    <row r="514" ht="15.75" customHeight="1">
      <c r="B514" s="20"/>
      <c r="C514" s="29"/>
      <c r="D514" s="22">
        <f t="shared" si="37"/>
        <v>0</v>
      </c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132"/>
      <c r="W514" s="132"/>
      <c r="X514" s="132"/>
      <c r="Y514" s="132"/>
      <c r="Z514" s="132"/>
      <c r="AA514" s="132"/>
      <c r="AB514" s="132"/>
      <c r="AC514" s="132"/>
      <c r="AD514" s="132"/>
      <c r="AE514" s="132"/>
      <c r="AF514" s="132"/>
      <c r="AG514" s="132"/>
      <c r="AH514" s="133"/>
      <c r="AI514" s="37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3"/>
      <c r="BQ514" s="33"/>
    </row>
    <row r="515" ht="15.75" customHeight="1">
      <c r="B515" s="20"/>
      <c r="C515" s="29"/>
      <c r="D515" s="22">
        <f t="shared" si="37"/>
        <v>0</v>
      </c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132"/>
      <c r="W515" s="132"/>
      <c r="X515" s="132"/>
      <c r="Y515" s="132"/>
      <c r="Z515" s="132"/>
      <c r="AA515" s="132"/>
      <c r="AB515" s="132"/>
      <c r="AC515" s="132"/>
      <c r="AD515" s="132"/>
      <c r="AE515" s="132"/>
      <c r="AF515" s="132"/>
      <c r="AG515" s="132"/>
      <c r="AH515" s="133"/>
      <c r="AI515" s="37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3"/>
      <c r="BQ515" s="33"/>
    </row>
    <row r="516" ht="15.75" customHeight="1">
      <c r="B516" s="34" t="s">
        <v>610</v>
      </c>
      <c r="C516" s="21"/>
      <c r="D516" s="22">
        <f t="shared" si="37"/>
        <v>0</v>
      </c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132"/>
      <c r="W516" s="132"/>
      <c r="X516" s="132"/>
      <c r="Y516" s="132"/>
      <c r="Z516" s="132"/>
      <c r="AA516" s="132"/>
      <c r="AB516" s="132"/>
      <c r="AC516" s="132"/>
      <c r="AD516" s="132"/>
      <c r="AE516" s="132"/>
      <c r="AF516" s="132"/>
      <c r="AG516" s="132"/>
      <c r="AH516" s="133"/>
      <c r="AI516" s="37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3"/>
      <c r="BQ516" s="33"/>
    </row>
    <row r="517" ht="15.75" customHeight="1">
      <c r="B517" s="20" t="s">
        <v>67</v>
      </c>
      <c r="C517" s="21" t="s">
        <v>611</v>
      </c>
      <c r="D517" s="22">
        <f t="shared" si="37"/>
        <v>0</v>
      </c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132"/>
      <c r="W517" s="132"/>
      <c r="X517" s="132"/>
      <c r="Y517" s="132"/>
      <c r="Z517" s="132"/>
      <c r="AA517" s="132"/>
      <c r="AB517" s="132"/>
      <c r="AC517" s="132"/>
      <c r="AD517" s="132"/>
      <c r="AE517" s="132"/>
      <c r="AF517" s="132"/>
      <c r="AG517" s="132"/>
      <c r="AH517" s="133"/>
      <c r="AI517" s="37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3"/>
      <c r="BQ517" s="33"/>
    </row>
    <row r="518" ht="15.75" customHeight="1">
      <c r="B518" s="20" t="s">
        <v>69</v>
      </c>
      <c r="C518" s="29" t="s">
        <v>612</v>
      </c>
      <c r="D518" s="22">
        <f t="shared" si="37"/>
        <v>0</v>
      </c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132"/>
      <c r="W518" s="132"/>
      <c r="X518" s="132"/>
      <c r="Y518" s="132"/>
      <c r="Z518" s="132"/>
      <c r="AA518" s="132"/>
      <c r="AB518" s="132"/>
      <c r="AC518" s="132"/>
      <c r="AD518" s="132"/>
      <c r="AE518" s="132"/>
      <c r="AF518" s="132"/>
      <c r="AG518" s="132"/>
      <c r="AH518" s="133"/>
      <c r="AI518" s="37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3"/>
      <c r="BQ518" s="33"/>
    </row>
    <row r="519" ht="15.75" customHeight="1">
      <c r="B519" s="20" t="s">
        <v>613</v>
      </c>
      <c r="C519" s="21" t="s">
        <v>614</v>
      </c>
      <c r="D519" s="22">
        <f t="shared" si="37"/>
        <v>0</v>
      </c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132"/>
      <c r="W519" s="132"/>
      <c r="X519" s="132"/>
      <c r="Y519" s="132"/>
      <c r="Z519" s="132"/>
      <c r="AA519" s="132"/>
      <c r="AB519" s="132"/>
      <c r="AC519" s="132"/>
      <c r="AD519" s="132"/>
      <c r="AE519" s="132"/>
      <c r="AF519" s="132"/>
      <c r="AG519" s="132"/>
      <c r="AH519" s="133"/>
      <c r="AI519" s="37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3"/>
      <c r="BQ519" s="33"/>
    </row>
    <row r="520" ht="15.75" customHeight="1">
      <c r="B520" s="20" t="s">
        <v>75</v>
      </c>
      <c r="C520" s="29" t="s">
        <v>615</v>
      </c>
      <c r="D520" s="22">
        <f t="shared" si="37"/>
        <v>0</v>
      </c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132"/>
      <c r="W520" s="132"/>
      <c r="X520" s="132"/>
      <c r="Y520" s="132"/>
      <c r="Z520" s="132"/>
      <c r="AA520" s="132"/>
      <c r="AB520" s="132"/>
      <c r="AC520" s="132"/>
      <c r="AD520" s="132"/>
      <c r="AE520" s="132"/>
      <c r="AF520" s="132"/>
      <c r="AG520" s="132"/>
      <c r="AH520" s="133"/>
      <c r="AI520" s="37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3"/>
      <c r="BQ520" s="33"/>
    </row>
    <row r="521" ht="15.75" customHeight="1">
      <c r="B521" s="20" t="s">
        <v>616</v>
      </c>
      <c r="C521" s="29" t="s">
        <v>617</v>
      </c>
      <c r="D521" s="22">
        <f t="shared" si="37"/>
        <v>0</v>
      </c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132"/>
      <c r="W521" s="132"/>
      <c r="X521" s="132"/>
      <c r="Y521" s="132"/>
      <c r="Z521" s="132"/>
      <c r="AA521" s="132"/>
      <c r="AB521" s="132"/>
      <c r="AC521" s="132"/>
      <c r="AD521" s="132"/>
      <c r="AE521" s="132"/>
      <c r="AF521" s="132"/>
      <c r="AG521" s="132"/>
      <c r="AH521" s="133"/>
      <c r="AI521" s="37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3"/>
      <c r="BQ521" s="33"/>
    </row>
    <row r="522" ht="15.75" customHeight="1">
      <c r="B522" s="20" t="s">
        <v>77</v>
      </c>
      <c r="C522" s="29"/>
      <c r="D522" s="22">
        <f t="shared" si="37"/>
        <v>0</v>
      </c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132"/>
      <c r="W522" s="132"/>
      <c r="X522" s="132"/>
      <c r="Y522" s="132"/>
      <c r="Z522" s="132"/>
      <c r="AA522" s="132"/>
      <c r="AB522" s="132"/>
      <c r="AC522" s="132"/>
      <c r="AD522" s="132"/>
      <c r="AE522" s="132"/>
      <c r="AF522" s="132"/>
      <c r="AG522" s="132"/>
      <c r="AH522" s="133"/>
      <c r="AI522" s="37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3"/>
      <c r="BQ522" s="33"/>
    </row>
    <row r="523" ht="15.75" customHeight="1">
      <c r="B523" s="81" t="s">
        <v>79</v>
      </c>
      <c r="C523" s="79" t="s">
        <v>618</v>
      </c>
      <c r="D523" s="22">
        <f t="shared" si="37"/>
        <v>0</v>
      </c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132"/>
      <c r="W523" s="132"/>
      <c r="X523" s="132"/>
      <c r="Y523" s="132"/>
      <c r="Z523" s="132"/>
      <c r="AA523" s="132"/>
      <c r="AB523" s="132"/>
      <c r="AC523" s="132"/>
      <c r="AD523" s="132"/>
      <c r="AE523" s="132"/>
      <c r="AF523" s="132"/>
      <c r="AG523" s="132"/>
      <c r="AH523" s="133"/>
      <c r="AI523" s="37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3"/>
      <c r="BQ523" s="33"/>
    </row>
    <row r="524" ht="15.75" customHeight="1">
      <c r="B524" s="20" t="s">
        <v>87</v>
      </c>
      <c r="C524" s="79" t="s">
        <v>619</v>
      </c>
      <c r="D524" s="22">
        <f t="shared" si="37"/>
        <v>0</v>
      </c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132"/>
      <c r="W524" s="132"/>
      <c r="X524" s="132"/>
      <c r="Y524" s="132"/>
      <c r="Z524" s="132"/>
      <c r="AA524" s="132"/>
      <c r="AB524" s="132"/>
      <c r="AC524" s="132"/>
      <c r="AD524" s="132"/>
      <c r="AE524" s="132"/>
      <c r="AF524" s="132"/>
      <c r="AG524" s="132"/>
      <c r="AH524" s="133"/>
      <c r="AI524" s="37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3"/>
      <c r="BQ524" s="33"/>
    </row>
    <row r="525" ht="15.75" customHeight="1">
      <c r="B525" s="20" t="s">
        <v>620</v>
      </c>
      <c r="C525" s="29" t="s">
        <v>621</v>
      </c>
      <c r="D525" s="22">
        <f t="shared" si="37"/>
        <v>0</v>
      </c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132"/>
      <c r="W525" s="132"/>
      <c r="X525" s="132"/>
      <c r="Y525" s="132"/>
      <c r="Z525" s="132"/>
      <c r="AA525" s="132"/>
      <c r="AB525" s="132"/>
      <c r="AC525" s="132"/>
      <c r="AD525" s="132"/>
      <c r="AE525" s="132"/>
      <c r="AF525" s="132"/>
      <c r="AG525" s="132"/>
      <c r="AH525" s="133"/>
      <c r="AI525" s="37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3"/>
      <c r="BQ525" s="33"/>
    </row>
    <row r="526" ht="15.75" customHeight="1">
      <c r="B526" s="20" t="s">
        <v>93</v>
      </c>
      <c r="C526" s="29" t="s">
        <v>622</v>
      </c>
      <c r="D526" s="22">
        <f t="shared" si="37"/>
        <v>0</v>
      </c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132"/>
      <c r="W526" s="132"/>
      <c r="X526" s="132"/>
      <c r="Y526" s="132"/>
      <c r="Z526" s="132"/>
      <c r="AA526" s="132"/>
      <c r="AB526" s="132"/>
      <c r="AC526" s="132"/>
      <c r="AD526" s="132"/>
      <c r="AE526" s="132"/>
      <c r="AF526" s="132"/>
      <c r="AG526" s="132"/>
      <c r="AH526" s="133"/>
      <c r="AI526" s="37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3"/>
      <c r="BQ526" s="33"/>
    </row>
    <row r="527" ht="15.75" customHeight="1">
      <c r="B527" s="20"/>
      <c r="C527" s="29"/>
      <c r="D527" s="22">
        <f t="shared" si="37"/>
        <v>0</v>
      </c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132"/>
      <c r="W527" s="132"/>
      <c r="X527" s="132"/>
      <c r="Y527" s="132"/>
      <c r="Z527" s="132"/>
      <c r="AA527" s="132"/>
      <c r="AB527" s="132"/>
      <c r="AC527" s="132"/>
      <c r="AD527" s="132"/>
      <c r="AE527" s="132"/>
      <c r="AF527" s="132"/>
      <c r="AG527" s="132"/>
      <c r="AH527" s="133"/>
      <c r="AI527" s="37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3"/>
      <c r="BQ527" s="33"/>
    </row>
    <row r="528" ht="15.75" customHeight="1">
      <c r="B528" s="34" t="s">
        <v>623</v>
      </c>
      <c r="C528" s="29"/>
      <c r="D528" s="22">
        <f t="shared" si="37"/>
        <v>0</v>
      </c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132"/>
      <c r="W528" s="132"/>
      <c r="X528" s="132"/>
      <c r="Y528" s="132"/>
      <c r="Z528" s="132"/>
      <c r="AA528" s="132"/>
      <c r="AB528" s="132"/>
      <c r="AC528" s="132"/>
      <c r="AD528" s="132"/>
      <c r="AE528" s="132"/>
      <c r="AF528" s="132"/>
      <c r="AG528" s="132"/>
      <c r="AH528" s="133"/>
      <c r="AI528" s="37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3"/>
      <c r="BQ528" s="33"/>
    </row>
    <row r="529" ht="15.75" customHeight="1">
      <c r="B529" s="20" t="s">
        <v>624</v>
      </c>
      <c r="C529" s="29" t="s">
        <v>625</v>
      </c>
      <c r="D529" s="22">
        <f t="shared" si="37"/>
        <v>0</v>
      </c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132"/>
      <c r="W529" s="132"/>
      <c r="X529" s="132"/>
      <c r="Y529" s="132"/>
      <c r="Z529" s="132"/>
      <c r="AA529" s="132"/>
      <c r="AB529" s="132"/>
      <c r="AC529" s="132"/>
      <c r="AD529" s="132"/>
      <c r="AE529" s="132"/>
      <c r="AF529" s="132"/>
      <c r="AG529" s="132"/>
      <c r="AH529" s="133"/>
      <c r="AI529" s="37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3"/>
      <c r="BQ529" s="33"/>
    </row>
    <row r="530" ht="15.75" customHeight="1">
      <c r="B530" s="20" t="s">
        <v>264</v>
      </c>
      <c r="C530" s="29" t="s">
        <v>626</v>
      </c>
      <c r="D530" s="22">
        <f t="shared" si="37"/>
        <v>0</v>
      </c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132"/>
      <c r="W530" s="132"/>
      <c r="X530" s="132"/>
      <c r="Y530" s="132"/>
      <c r="Z530" s="132"/>
      <c r="AA530" s="132"/>
      <c r="AB530" s="132"/>
      <c r="AC530" s="132"/>
      <c r="AD530" s="132"/>
      <c r="AE530" s="132"/>
      <c r="AF530" s="132"/>
      <c r="AG530" s="132"/>
      <c r="AH530" s="133"/>
      <c r="AI530" s="37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3"/>
      <c r="BQ530" s="33"/>
    </row>
    <row r="531" ht="15.75" customHeight="1">
      <c r="B531" s="20" t="s">
        <v>65</v>
      </c>
      <c r="C531" s="29" t="s">
        <v>627</v>
      </c>
      <c r="D531" s="22">
        <f t="shared" si="37"/>
        <v>0</v>
      </c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132"/>
      <c r="W531" s="132"/>
      <c r="X531" s="132"/>
      <c r="Y531" s="132"/>
      <c r="Z531" s="132"/>
      <c r="AA531" s="132"/>
      <c r="AB531" s="132"/>
      <c r="AC531" s="132"/>
      <c r="AD531" s="132"/>
      <c r="AE531" s="132"/>
      <c r="AF531" s="132"/>
      <c r="AG531" s="132"/>
      <c r="AH531" s="133"/>
      <c r="AI531" s="37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3"/>
      <c r="BQ531" s="33"/>
    </row>
    <row r="532" ht="15.75" customHeight="1">
      <c r="B532" s="20" t="s">
        <v>69</v>
      </c>
      <c r="C532" s="29" t="s">
        <v>628</v>
      </c>
      <c r="D532" s="22">
        <f t="shared" si="37"/>
        <v>0</v>
      </c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132"/>
      <c r="W532" s="132"/>
      <c r="X532" s="132"/>
      <c r="Y532" s="132"/>
      <c r="Z532" s="132"/>
      <c r="AA532" s="132"/>
      <c r="AB532" s="132"/>
      <c r="AC532" s="132"/>
      <c r="AD532" s="132"/>
      <c r="AE532" s="132"/>
      <c r="AF532" s="132"/>
      <c r="AG532" s="132"/>
      <c r="AH532" s="133"/>
      <c r="AI532" s="37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3"/>
      <c r="BQ532" s="33"/>
    </row>
    <row r="533" ht="15.75" customHeight="1">
      <c r="B533" s="20" t="s">
        <v>613</v>
      </c>
      <c r="C533" s="29" t="s">
        <v>629</v>
      </c>
      <c r="D533" s="22">
        <f t="shared" si="37"/>
        <v>0</v>
      </c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132"/>
      <c r="W533" s="132"/>
      <c r="X533" s="132"/>
      <c r="Y533" s="132"/>
      <c r="Z533" s="132"/>
      <c r="AA533" s="132"/>
      <c r="AB533" s="132"/>
      <c r="AC533" s="132"/>
      <c r="AD533" s="132"/>
      <c r="AE533" s="132"/>
      <c r="AF533" s="132"/>
      <c r="AG533" s="132"/>
      <c r="AH533" s="133"/>
      <c r="AI533" s="37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3"/>
      <c r="BQ533" s="33"/>
    </row>
    <row r="534" ht="15.75" customHeight="1">
      <c r="B534" s="81" t="s">
        <v>75</v>
      </c>
      <c r="C534" s="153" t="s">
        <v>630</v>
      </c>
      <c r="D534" s="22">
        <f t="shared" si="37"/>
        <v>0</v>
      </c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132"/>
      <c r="W534" s="132"/>
      <c r="X534" s="132"/>
      <c r="Y534" s="132"/>
      <c r="Z534" s="132"/>
      <c r="AA534" s="132"/>
      <c r="AB534" s="132"/>
      <c r="AC534" s="132"/>
      <c r="AD534" s="132"/>
      <c r="AE534" s="132"/>
      <c r="AF534" s="132"/>
      <c r="AG534" s="132"/>
      <c r="AH534" s="133"/>
      <c r="AI534" s="37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3"/>
      <c r="BQ534" s="33"/>
    </row>
    <row r="535" ht="15.75" customHeight="1">
      <c r="B535" s="20" t="s">
        <v>77</v>
      </c>
      <c r="C535" s="79" t="s">
        <v>631</v>
      </c>
      <c r="D535" s="22">
        <f t="shared" si="37"/>
        <v>0</v>
      </c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132"/>
      <c r="W535" s="132"/>
      <c r="X535" s="132"/>
      <c r="Y535" s="132"/>
      <c r="Z535" s="132"/>
      <c r="AA535" s="132"/>
      <c r="AB535" s="132"/>
      <c r="AC535" s="132"/>
      <c r="AD535" s="132"/>
      <c r="AE535" s="132"/>
      <c r="AF535" s="132"/>
      <c r="AG535" s="132"/>
      <c r="AH535" s="133"/>
      <c r="AI535" s="37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3"/>
      <c r="BQ535" s="33"/>
    </row>
    <row r="536" ht="15.75" customHeight="1">
      <c r="B536" s="81" t="s">
        <v>79</v>
      </c>
      <c r="C536" s="21" t="s">
        <v>632</v>
      </c>
      <c r="D536" s="22">
        <f t="shared" si="37"/>
        <v>0</v>
      </c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132"/>
      <c r="W536" s="132"/>
      <c r="X536" s="132"/>
      <c r="Y536" s="132"/>
      <c r="Z536" s="132"/>
      <c r="AA536" s="132"/>
      <c r="AB536" s="132"/>
      <c r="AC536" s="132"/>
      <c r="AD536" s="132"/>
      <c r="AE536" s="132"/>
      <c r="AF536" s="132"/>
      <c r="AG536" s="132"/>
      <c r="AH536" s="133"/>
      <c r="AI536" s="37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3"/>
      <c r="BQ536" s="33"/>
    </row>
    <row r="537" ht="15.75" customHeight="1">
      <c r="B537" s="81" t="s">
        <v>633</v>
      </c>
      <c r="C537" s="29" t="s">
        <v>634</v>
      </c>
      <c r="D537" s="22">
        <f t="shared" si="37"/>
        <v>0</v>
      </c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132"/>
      <c r="W537" s="132"/>
      <c r="X537" s="132"/>
      <c r="Y537" s="132"/>
      <c r="Z537" s="132"/>
      <c r="AA537" s="132"/>
      <c r="AB537" s="132"/>
      <c r="AC537" s="132"/>
      <c r="AD537" s="132"/>
      <c r="AE537" s="132"/>
      <c r="AF537" s="132"/>
      <c r="AG537" s="132"/>
      <c r="AH537" s="133"/>
      <c r="AI537" s="37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3"/>
      <c r="BQ537" s="33"/>
    </row>
    <row r="538" ht="15.75" customHeight="1">
      <c r="B538" s="81"/>
      <c r="C538" s="29"/>
      <c r="D538" s="22">
        <f t="shared" si="37"/>
        <v>0</v>
      </c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132"/>
      <c r="W538" s="132"/>
      <c r="X538" s="132"/>
      <c r="Y538" s="132"/>
      <c r="Z538" s="132"/>
      <c r="AA538" s="132"/>
      <c r="AB538" s="132"/>
      <c r="AC538" s="132"/>
      <c r="AD538" s="132"/>
      <c r="AE538" s="132"/>
      <c r="AF538" s="132"/>
      <c r="AG538" s="132"/>
      <c r="AH538" s="133"/>
      <c r="AI538" s="37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3"/>
      <c r="BQ538" s="33"/>
    </row>
    <row r="539" ht="15.75" customHeight="1">
      <c r="B539" s="34" t="s">
        <v>635</v>
      </c>
      <c r="C539" s="29"/>
      <c r="D539" s="22">
        <f t="shared" si="37"/>
        <v>0</v>
      </c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132"/>
      <c r="W539" s="132"/>
      <c r="X539" s="132"/>
      <c r="Y539" s="132"/>
      <c r="Z539" s="132"/>
      <c r="AA539" s="132"/>
      <c r="AB539" s="132"/>
      <c r="AC539" s="132"/>
      <c r="AD539" s="132"/>
      <c r="AE539" s="132"/>
      <c r="AF539" s="132"/>
      <c r="AG539" s="132"/>
      <c r="AH539" s="133"/>
      <c r="AI539" s="37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3"/>
      <c r="BQ539" s="33"/>
    </row>
    <row r="540" ht="15.75" customHeight="1">
      <c r="B540" s="81" t="s">
        <v>210</v>
      </c>
      <c r="C540" s="29" t="s">
        <v>636</v>
      </c>
      <c r="D540" s="22">
        <f t="shared" si="37"/>
        <v>0</v>
      </c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132"/>
      <c r="W540" s="132"/>
      <c r="X540" s="132"/>
      <c r="Y540" s="132"/>
      <c r="Z540" s="132"/>
      <c r="AA540" s="132"/>
      <c r="AB540" s="132"/>
      <c r="AC540" s="132"/>
      <c r="AD540" s="132"/>
      <c r="AE540" s="132"/>
      <c r="AF540" s="132"/>
      <c r="AG540" s="132"/>
      <c r="AH540" s="133"/>
      <c r="AI540" s="37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3"/>
      <c r="BQ540" s="33"/>
    </row>
    <row r="541" ht="15.75" customHeight="1">
      <c r="B541" s="20" t="s">
        <v>637</v>
      </c>
      <c r="C541" s="29" t="s">
        <v>638</v>
      </c>
      <c r="D541" s="22">
        <f t="shared" si="37"/>
        <v>0</v>
      </c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33"/>
      <c r="AI541" s="37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3"/>
      <c r="BQ541" s="33"/>
    </row>
    <row r="542" ht="15.75" customHeight="1">
      <c r="B542" s="81" t="s">
        <v>639</v>
      </c>
      <c r="C542" s="29" t="s">
        <v>640</v>
      </c>
      <c r="D542" s="22">
        <f t="shared" si="37"/>
        <v>0</v>
      </c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132"/>
      <c r="W542" s="132"/>
      <c r="X542" s="132"/>
      <c r="Y542" s="132"/>
      <c r="Z542" s="132"/>
      <c r="AA542" s="132"/>
      <c r="AB542" s="132"/>
      <c r="AC542" s="132"/>
      <c r="AD542" s="132"/>
      <c r="AE542" s="132"/>
      <c r="AF542" s="132"/>
      <c r="AG542" s="132"/>
      <c r="AH542" s="133"/>
      <c r="AI542" s="37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3"/>
      <c r="BQ542" s="33"/>
    </row>
    <row r="543" ht="15.75" customHeight="1">
      <c r="B543" s="81" t="s">
        <v>641</v>
      </c>
      <c r="C543" s="29" t="s">
        <v>642</v>
      </c>
      <c r="D543" s="22">
        <f t="shared" si="37"/>
        <v>0</v>
      </c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132"/>
      <c r="W543" s="132"/>
      <c r="X543" s="132"/>
      <c r="Y543" s="132"/>
      <c r="Z543" s="132"/>
      <c r="AA543" s="132"/>
      <c r="AB543" s="132"/>
      <c r="AC543" s="132"/>
      <c r="AD543" s="132"/>
      <c r="AE543" s="132"/>
      <c r="AF543" s="132"/>
      <c r="AG543" s="132"/>
      <c r="AH543" s="133"/>
      <c r="AI543" s="37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3"/>
      <c r="BQ543" s="33"/>
    </row>
    <row r="544" ht="15.75" customHeight="1">
      <c r="B544" s="81" t="s">
        <v>643</v>
      </c>
      <c r="C544" s="29" t="s">
        <v>644</v>
      </c>
      <c r="D544" s="22">
        <f t="shared" si="37"/>
        <v>0</v>
      </c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132"/>
      <c r="W544" s="132"/>
      <c r="X544" s="132"/>
      <c r="Y544" s="132"/>
      <c r="Z544" s="132"/>
      <c r="AA544" s="132"/>
      <c r="AB544" s="132"/>
      <c r="AC544" s="132"/>
      <c r="AD544" s="132"/>
      <c r="AE544" s="132"/>
      <c r="AF544" s="132"/>
      <c r="AG544" s="132"/>
      <c r="AH544" s="133"/>
      <c r="AI544" s="37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3"/>
      <c r="BQ544" s="33"/>
    </row>
    <row r="545" ht="15.75" customHeight="1">
      <c r="B545" s="81" t="s">
        <v>645</v>
      </c>
      <c r="C545" s="21" t="s">
        <v>646</v>
      </c>
      <c r="D545" s="22">
        <f t="shared" si="37"/>
        <v>0</v>
      </c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132"/>
      <c r="W545" s="132"/>
      <c r="X545" s="132"/>
      <c r="Y545" s="132"/>
      <c r="Z545" s="132"/>
      <c r="AA545" s="132"/>
      <c r="AB545" s="132"/>
      <c r="AC545" s="132"/>
      <c r="AD545" s="132"/>
      <c r="AE545" s="132"/>
      <c r="AF545" s="132"/>
      <c r="AG545" s="132"/>
      <c r="AH545" s="133"/>
      <c r="AI545" s="37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3"/>
      <c r="BQ545" s="33"/>
    </row>
    <row r="546" ht="15.75" customHeight="1">
      <c r="B546" s="81" t="s">
        <v>647</v>
      </c>
      <c r="C546" s="21" t="s">
        <v>648</v>
      </c>
      <c r="D546" s="22">
        <f t="shared" si="37"/>
        <v>0</v>
      </c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132"/>
      <c r="W546" s="132"/>
      <c r="X546" s="132"/>
      <c r="Y546" s="132"/>
      <c r="Z546" s="132"/>
      <c r="AA546" s="132"/>
      <c r="AB546" s="132"/>
      <c r="AC546" s="132"/>
      <c r="AD546" s="132"/>
      <c r="AE546" s="132"/>
      <c r="AF546" s="132"/>
      <c r="AG546" s="132"/>
      <c r="AH546" s="133"/>
      <c r="AI546" s="37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3"/>
      <c r="BQ546" s="33"/>
    </row>
    <row r="547" ht="15.75" customHeight="1">
      <c r="B547" s="81" t="s">
        <v>24</v>
      </c>
      <c r="C547" s="21" t="s">
        <v>649</v>
      </c>
      <c r="D547" s="22">
        <f t="shared" si="37"/>
        <v>0</v>
      </c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132"/>
      <c r="W547" s="132"/>
      <c r="X547" s="132"/>
      <c r="Y547" s="132"/>
      <c r="Z547" s="132"/>
      <c r="AA547" s="132"/>
      <c r="AB547" s="132"/>
      <c r="AC547" s="132"/>
      <c r="AD547" s="132"/>
      <c r="AE547" s="132"/>
      <c r="AF547" s="132"/>
      <c r="AG547" s="132"/>
      <c r="AH547" s="133"/>
      <c r="AI547" s="37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3"/>
      <c r="BQ547" s="33"/>
    </row>
    <row r="548" ht="15.75" customHeight="1">
      <c r="B548" s="81" t="s">
        <v>26</v>
      </c>
      <c r="C548" s="29" t="s">
        <v>650</v>
      </c>
      <c r="D548" s="22">
        <f t="shared" si="37"/>
        <v>0</v>
      </c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132"/>
      <c r="W548" s="132"/>
      <c r="X548" s="132"/>
      <c r="Y548" s="132"/>
      <c r="Z548" s="132"/>
      <c r="AA548" s="132"/>
      <c r="AB548" s="132"/>
      <c r="AC548" s="132"/>
      <c r="AD548" s="132"/>
      <c r="AE548" s="132"/>
      <c r="AF548" s="132"/>
      <c r="AG548" s="132"/>
      <c r="AH548" s="133"/>
      <c r="AI548" s="37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3"/>
      <c r="BQ548" s="33"/>
    </row>
    <row r="549" ht="15.75" customHeight="1">
      <c r="B549" s="81" t="s">
        <v>651</v>
      </c>
      <c r="C549" s="29" t="s">
        <v>650</v>
      </c>
      <c r="D549" s="22">
        <f t="shared" si="37"/>
        <v>0</v>
      </c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132"/>
      <c r="W549" s="132"/>
      <c r="X549" s="132"/>
      <c r="Y549" s="132"/>
      <c r="Z549" s="132"/>
      <c r="AA549" s="132"/>
      <c r="AB549" s="132"/>
      <c r="AC549" s="132"/>
      <c r="AD549" s="132"/>
      <c r="AE549" s="132"/>
      <c r="AF549" s="132"/>
      <c r="AG549" s="132"/>
      <c r="AH549" s="133"/>
      <c r="AI549" s="37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3"/>
      <c r="BQ549" s="33"/>
    </row>
    <row r="550" ht="15.75" customHeight="1">
      <c r="B550" s="81" t="s">
        <v>652</v>
      </c>
      <c r="C550" s="29" t="s">
        <v>653</v>
      </c>
      <c r="D550" s="22">
        <f t="shared" si="37"/>
        <v>0</v>
      </c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132"/>
      <c r="W550" s="132"/>
      <c r="X550" s="132"/>
      <c r="Y550" s="132"/>
      <c r="Z550" s="132"/>
      <c r="AA550" s="132"/>
      <c r="AB550" s="132"/>
      <c r="AC550" s="132"/>
      <c r="AD550" s="132"/>
      <c r="AE550" s="132"/>
      <c r="AF550" s="132"/>
      <c r="AG550" s="132"/>
      <c r="AH550" s="133"/>
      <c r="AI550" s="37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3"/>
      <c r="BQ550" s="33"/>
    </row>
    <row r="551" ht="15.75" customHeight="1">
      <c r="B551" s="81" t="s">
        <v>654</v>
      </c>
      <c r="C551" s="29" t="s">
        <v>655</v>
      </c>
      <c r="D551" s="22">
        <f t="shared" si="37"/>
        <v>0</v>
      </c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132"/>
      <c r="W551" s="132"/>
      <c r="X551" s="132"/>
      <c r="Y551" s="132"/>
      <c r="Z551" s="132"/>
      <c r="AA551" s="132"/>
      <c r="AB551" s="132"/>
      <c r="AC551" s="132"/>
      <c r="AD551" s="132"/>
      <c r="AE551" s="132"/>
      <c r="AF551" s="132"/>
      <c r="AG551" s="132"/>
      <c r="AH551" s="133"/>
      <c r="AI551" s="37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3"/>
      <c r="BQ551" s="33"/>
    </row>
    <row r="552" ht="15.75" customHeight="1">
      <c r="B552" s="81" t="s">
        <v>35</v>
      </c>
      <c r="C552" s="29" t="s">
        <v>656</v>
      </c>
      <c r="D552" s="22">
        <f t="shared" si="37"/>
        <v>0</v>
      </c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132"/>
      <c r="W552" s="132"/>
      <c r="X552" s="132"/>
      <c r="Y552" s="132"/>
      <c r="Z552" s="132"/>
      <c r="AA552" s="132"/>
      <c r="AB552" s="132"/>
      <c r="AC552" s="132"/>
      <c r="AD552" s="132"/>
      <c r="AE552" s="132"/>
      <c r="AF552" s="132"/>
      <c r="AG552" s="132"/>
      <c r="AH552" s="133"/>
      <c r="AI552" s="37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3"/>
      <c r="BQ552" s="33"/>
    </row>
    <row r="553" ht="15.75" customHeight="1">
      <c r="B553" s="81" t="s">
        <v>657</v>
      </c>
      <c r="C553" s="154"/>
      <c r="D553" s="22">
        <f t="shared" si="37"/>
        <v>0</v>
      </c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132"/>
      <c r="W553" s="132"/>
      <c r="X553" s="132"/>
      <c r="Y553" s="132"/>
      <c r="Z553" s="132"/>
      <c r="AA553" s="132"/>
      <c r="AB553" s="132"/>
      <c r="AC553" s="132"/>
      <c r="AD553" s="132"/>
      <c r="AE553" s="132"/>
      <c r="AF553" s="132"/>
      <c r="AG553" s="132"/>
      <c r="AH553" s="133"/>
      <c r="AI553" s="37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3"/>
      <c r="BQ553" s="33"/>
    </row>
    <row r="554" ht="15.75" customHeight="1">
      <c r="B554" s="81" t="s">
        <v>658</v>
      </c>
      <c r="C554" s="154"/>
      <c r="D554" s="22">
        <f t="shared" si="37"/>
        <v>0</v>
      </c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132"/>
      <c r="W554" s="132"/>
      <c r="X554" s="132"/>
      <c r="Y554" s="132"/>
      <c r="Z554" s="132"/>
      <c r="AA554" s="132"/>
      <c r="AB554" s="132"/>
      <c r="AC554" s="132"/>
      <c r="AD554" s="132"/>
      <c r="AE554" s="132"/>
      <c r="AF554" s="132"/>
      <c r="AG554" s="132"/>
      <c r="AH554" s="133"/>
      <c r="AI554" s="37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3"/>
      <c r="BQ554" s="33"/>
    </row>
    <row r="555" ht="15.75" customHeight="1">
      <c r="B555" s="81" t="s">
        <v>659</v>
      </c>
      <c r="C555" s="110"/>
      <c r="D555" s="22">
        <f t="shared" si="37"/>
        <v>0</v>
      </c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132"/>
      <c r="W555" s="132"/>
      <c r="X555" s="132"/>
      <c r="Y555" s="132"/>
      <c r="Z555" s="132"/>
      <c r="AA555" s="132"/>
      <c r="AB555" s="132"/>
      <c r="AC555" s="132"/>
      <c r="AD555" s="132"/>
      <c r="AE555" s="132"/>
      <c r="AF555" s="132"/>
      <c r="AG555" s="132"/>
      <c r="AH555" s="133"/>
      <c r="AI555" s="37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3"/>
      <c r="BQ555" s="33"/>
    </row>
    <row r="556" ht="15.75" customHeight="1">
      <c r="B556" s="81" t="s">
        <v>660</v>
      </c>
      <c r="C556" s="21"/>
      <c r="D556" s="22">
        <f t="shared" si="37"/>
        <v>0</v>
      </c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132"/>
      <c r="W556" s="132"/>
      <c r="X556" s="132"/>
      <c r="Y556" s="132"/>
      <c r="Z556" s="132"/>
      <c r="AA556" s="132"/>
      <c r="AB556" s="132"/>
      <c r="AC556" s="132"/>
      <c r="AD556" s="132"/>
      <c r="AE556" s="132"/>
      <c r="AF556" s="132"/>
      <c r="AG556" s="132"/>
      <c r="AH556" s="133"/>
      <c r="AI556" s="37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3"/>
      <c r="BQ556" s="33"/>
    </row>
    <row r="557" ht="15.75" customHeight="1">
      <c r="B557" s="81" t="s">
        <v>661</v>
      </c>
      <c r="C557" s="21"/>
      <c r="D557" s="22">
        <f t="shared" si="37"/>
        <v>0</v>
      </c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132"/>
      <c r="W557" s="132"/>
      <c r="X557" s="132"/>
      <c r="Y557" s="132"/>
      <c r="Z557" s="132"/>
      <c r="AA557" s="132"/>
      <c r="AB557" s="132"/>
      <c r="AC557" s="132"/>
      <c r="AD557" s="132"/>
      <c r="AE557" s="132"/>
      <c r="AF557" s="132"/>
      <c r="AG557" s="132"/>
      <c r="AH557" s="133"/>
      <c r="AI557" s="37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3"/>
      <c r="BQ557" s="33"/>
    </row>
    <row r="558" ht="15.75" customHeight="1">
      <c r="B558" s="81" t="s">
        <v>662</v>
      </c>
      <c r="C558" s="21"/>
      <c r="D558" s="22">
        <f t="shared" si="37"/>
        <v>0</v>
      </c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132"/>
      <c r="W558" s="132"/>
      <c r="X558" s="132"/>
      <c r="Y558" s="132"/>
      <c r="Z558" s="132"/>
      <c r="AA558" s="132"/>
      <c r="AB558" s="132"/>
      <c r="AC558" s="132"/>
      <c r="AD558" s="132"/>
      <c r="AE558" s="132"/>
      <c r="AF558" s="132"/>
      <c r="AG558" s="132"/>
      <c r="AH558" s="133"/>
      <c r="AI558" s="37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3"/>
      <c r="BQ558" s="33"/>
    </row>
    <row r="559" ht="15.75" customHeight="1">
      <c r="B559" s="20" t="s">
        <v>663</v>
      </c>
      <c r="C559" s="154"/>
      <c r="D559" s="22">
        <f t="shared" si="37"/>
        <v>0</v>
      </c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/>
      <c r="AF559" s="132"/>
      <c r="AG559" s="132"/>
      <c r="AH559" s="133"/>
      <c r="AI559" s="37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3"/>
      <c r="BQ559" s="33"/>
    </row>
    <row r="560" ht="15.75" customHeight="1">
      <c r="B560" s="20" t="s">
        <v>664</v>
      </c>
      <c r="C560" s="154"/>
      <c r="D560" s="22">
        <f t="shared" si="37"/>
        <v>0</v>
      </c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  <c r="AF560" s="132"/>
      <c r="AG560" s="132"/>
      <c r="AH560" s="133"/>
      <c r="AI560" s="37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3"/>
      <c r="BQ560" s="33"/>
    </row>
    <row r="561" ht="15.75" customHeight="1">
      <c r="B561" s="20"/>
      <c r="C561" s="154"/>
      <c r="D561" s="22">
        <f t="shared" si="37"/>
        <v>0</v>
      </c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  <c r="AF561" s="132"/>
      <c r="AG561" s="132"/>
      <c r="AH561" s="133"/>
      <c r="AI561" s="37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3"/>
      <c r="BQ561" s="33"/>
    </row>
    <row r="562" ht="15.75" customHeight="1">
      <c r="B562" s="20"/>
      <c r="C562" s="154"/>
      <c r="D562" s="22">
        <f t="shared" si="37"/>
        <v>0</v>
      </c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132"/>
      <c r="W562" s="132"/>
      <c r="X562" s="132"/>
      <c r="Y562" s="132"/>
      <c r="Z562" s="132"/>
      <c r="AA562" s="132"/>
      <c r="AB562" s="132"/>
      <c r="AC562" s="132"/>
      <c r="AD562" s="132"/>
      <c r="AE562" s="132"/>
      <c r="AF562" s="132"/>
      <c r="AG562" s="132"/>
      <c r="AH562" s="133"/>
      <c r="AI562" s="37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3"/>
      <c r="BQ562" s="33"/>
    </row>
    <row r="563" ht="15.75" customHeight="1">
      <c r="B563" s="34" t="s">
        <v>665</v>
      </c>
      <c r="C563" s="110"/>
      <c r="D563" s="22">
        <f t="shared" si="37"/>
        <v>0</v>
      </c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132"/>
      <c r="W563" s="132"/>
      <c r="X563" s="132"/>
      <c r="Y563" s="132"/>
      <c r="Z563" s="132"/>
      <c r="AA563" s="132"/>
      <c r="AB563" s="132"/>
      <c r="AC563" s="132"/>
      <c r="AD563" s="132"/>
      <c r="AE563" s="132"/>
      <c r="AF563" s="132"/>
      <c r="AG563" s="132"/>
      <c r="AH563" s="133"/>
      <c r="AI563" s="37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3"/>
      <c r="BQ563" s="33"/>
    </row>
    <row r="564" ht="15.75" customHeight="1">
      <c r="B564" s="20" t="s">
        <v>479</v>
      </c>
      <c r="C564" s="21" t="s">
        <v>666</v>
      </c>
      <c r="D564" s="22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132"/>
      <c r="W564" s="132"/>
      <c r="X564" s="132"/>
      <c r="Y564" s="132"/>
      <c r="Z564" s="132"/>
      <c r="AA564" s="132"/>
      <c r="AB564" s="132"/>
      <c r="AC564" s="132"/>
      <c r="AD564" s="132"/>
      <c r="AE564" s="132"/>
      <c r="AF564" s="132"/>
      <c r="AG564" s="132"/>
      <c r="AH564" s="133"/>
      <c r="AI564" s="37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3"/>
      <c r="BQ564" s="33"/>
    </row>
    <row r="565" ht="15.75" customHeight="1">
      <c r="B565" s="78" t="s">
        <v>667</v>
      </c>
      <c r="C565" s="21"/>
      <c r="D565" s="22">
        <f t="shared" ref="D565:D583" si="38">SUM(E565:Z565)</f>
        <v>0.158</v>
      </c>
      <c r="E565" s="87">
        <v>0.158</v>
      </c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  <c r="AG565" s="132"/>
      <c r="AH565" s="133"/>
      <c r="AI565" s="37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3"/>
      <c r="BQ565" s="33"/>
    </row>
    <row r="566" ht="15.75" customHeight="1">
      <c r="B566" s="78"/>
      <c r="C566" s="21"/>
      <c r="D566" s="22">
        <f t="shared" si="38"/>
        <v>0</v>
      </c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132"/>
      <c r="W566" s="132"/>
      <c r="X566" s="132"/>
      <c r="Y566" s="132"/>
      <c r="Z566" s="132"/>
      <c r="AA566" s="132"/>
      <c r="AB566" s="132"/>
      <c r="AC566" s="132"/>
      <c r="AD566" s="132"/>
      <c r="AE566" s="132"/>
      <c r="AF566" s="132"/>
      <c r="AG566" s="132"/>
      <c r="AH566" s="133"/>
      <c r="AI566" s="37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3"/>
      <c r="BQ566" s="33"/>
    </row>
    <row r="567" ht="15.75" customHeight="1">
      <c r="B567" s="78"/>
      <c r="C567" s="21"/>
      <c r="D567" s="22">
        <f t="shared" si="38"/>
        <v>0</v>
      </c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132"/>
      <c r="W567" s="132"/>
      <c r="X567" s="132"/>
      <c r="Y567" s="132"/>
      <c r="Z567" s="132"/>
      <c r="AA567" s="132"/>
      <c r="AB567" s="132"/>
      <c r="AC567" s="132"/>
      <c r="AD567" s="132"/>
      <c r="AE567" s="132"/>
      <c r="AF567" s="132"/>
      <c r="AG567" s="132"/>
      <c r="AH567" s="133"/>
      <c r="AI567" s="37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3"/>
      <c r="BQ567" s="33"/>
    </row>
    <row r="568" ht="15.75" customHeight="1">
      <c r="B568" s="155" t="s">
        <v>668</v>
      </c>
      <c r="C568" s="29"/>
      <c r="D568" s="22">
        <f t="shared" si="38"/>
        <v>0</v>
      </c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132"/>
      <c r="W568" s="132"/>
      <c r="X568" s="132"/>
      <c r="Y568" s="132"/>
      <c r="Z568" s="132"/>
      <c r="AA568" s="132"/>
      <c r="AB568" s="132"/>
      <c r="AC568" s="132"/>
      <c r="AD568" s="132"/>
      <c r="AE568" s="132"/>
      <c r="AF568" s="132"/>
      <c r="AG568" s="132"/>
      <c r="AH568" s="133"/>
      <c r="AI568" s="37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3"/>
      <c r="BQ568" s="33"/>
    </row>
    <row r="569" ht="15.75" customHeight="1">
      <c r="B569" s="78" t="s">
        <v>150</v>
      </c>
      <c r="C569" s="41" t="s">
        <v>669</v>
      </c>
      <c r="D569" s="22">
        <f t="shared" si="38"/>
        <v>1.186</v>
      </c>
      <c r="E569" s="87">
        <v>1.0</v>
      </c>
      <c r="F569" s="87">
        <v>0.186</v>
      </c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132"/>
      <c r="W569" s="132"/>
      <c r="X569" s="132"/>
      <c r="Y569" s="132"/>
      <c r="Z569" s="132"/>
      <c r="AA569" s="132"/>
      <c r="AB569" s="132"/>
      <c r="AC569" s="132"/>
      <c r="AD569" s="132"/>
      <c r="AE569" s="132"/>
      <c r="AF569" s="132"/>
      <c r="AG569" s="132"/>
      <c r="AH569" s="133"/>
      <c r="AI569" s="37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3"/>
      <c r="BQ569" s="33"/>
    </row>
    <row r="570" ht="15.75" customHeight="1">
      <c r="B570" s="38" t="s">
        <v>152</v>
      </c>
      <c r="C570" s="41">
        <v>631.865</v>
      </c>
      <c r="D570" s="22">
        <f t="shared" si="38"/>
        <v>3.38</v>
      </c>
      <c r="E570" s="87">
        <v>1.0</v>
      </c>
      <c r="F570" s="87">
        <v>1.0</v>
      </c>
      <c r="G570" s="87">
        <v>0.87</v>
      </c>
      <c r="H570" s="87">
        <v>0.51</v>
      </c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132"/>
      <c r="W570" s="132"/>
      <c r="X570" s="132"/>
      <c r="Y570" s="132"/>
      <c r="Z570" s="132"/>
      <c r="AA570" s="156"/>
      <c r="AB570" s="156"/>
      <c r="AC570" s="156"/>
      <c r="AD570" s="156"/>
      <c r="AE570" s="156"/>
      <c r="AF570" s="156"/>
      <c r="AG570" s="156"/>
      <c r="AH570" s="157"/>
      <c r="AI570" s="158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3"/>
      <c r="BQ570" s="33"/>
    </row>
    <row r="571" ht="15.75" customHeight="1">
      <c r="B571" s="81" t="s">
        <v>670</v>
      </c>
      <c r="C571" s="41">
        <v>979.745</v>
      </c>
      <c r="D571" s="22">
        <f t="shared" si="38"/>
        <v>1.697</v>
      </c>
      <c r="E571" s="87">
        <v>1.0</v>
      </c>
      <c r="F571" s="87">
        <v>0.697</v>
      </c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132"/>
      <c r="W571" s="132"/>
      <c r="X571" s="132"/>
      <c r="Y571" s="132"/>
      <c r="Z571" s="132"/>
      <c r="AA571" s="156"/>
      <c r="AB571" s="156"/>
      <c r="AC571" s="156"/>
      <c r="AD571" s="156"/>
      <c r="AE571" s="156"/>
      <c r="AF571" s="156"/>
      <c r="AG571" s="156"/>
      <c r="AH571" s="157"/>
      <c r="AI571" s="158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3"/>
      <c r="BQ571" s="33"/>
    </row>
    <row r="572" ht="15.75" customHeight="1">
      <c r="B572" s="81" t="s">
        <v>671</v>
      </c>
      <c r="C572" s="41">
        <v>1362.413</v>
      </c>
      <c r="D572" s="22">
        <f t="shared" si="38"/>
        <v>1.485</v>
      </c>
      <c r="E572" s="87">
        <v>1.0</v>
      </c>
      <c r="F572" s="87">
        <v>0.485</v>
      </c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156"/>
      <c r="W572" s="156"/>
      <c r="X572" s="156"/>
      <c r="Y572" s="156"/>
      <c r="Z572" s="156"/>
      <c r="AA572" s="156"/>
      <c r="AB572" s="156"/>
      <c r="AC572" s="156"/>
      <c r="AD572" s="156"/>
      <c r="AE572" s="156"/>
      <c r="AF572" s="156"/>
      <c r="AG572" s="156"/>
      <c r="AH572" s="157"/>
      <c r="AI572" s="158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3"/>
      <c r="BQ572" s="33"/>
    </row>
    <row r="573" ht="15.75" customHeight="1">
      <c r="B573" s="148" t="s">
        <v>672</v>
      </c>
      <c r="C573" s="41">
        <v>1790.698</v>
      </c>
      <c r="D573" s="22">
        <f t="shared" si="38"/>
        <v>1.6</v>
      </c>
      <c r="E573" s="87">
        <v>1.0</v>
      </c>
      <c r="F573" s="87">
        <v>0.6</v>
      </c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156"/>
      <c r="W573" s="156"/>
      <c r="X573" s="156"/>
      <c r="Y573" s="156"/>
      <c r="Z573" s="156"/>
      <c r="AA573" s="156"/>
      <c r="AB573" s="156"/>
      <c r="AC573" s="156"/>
      <c r="AD573" s="156"/>
      <c r="AE573" s="156"/>
      <c r="AF573" s="156"/>
      <c r="AG573" s="156"/>
      <c r="AH573" s="157"/>
      <c r="AI573" s="158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3"/>
      <c r="BQ573" s="33"/>
    </row>
    <row r="574" ht="15.75" customHeight="1">
      <c r="B574" s="20" t="s">
        <v>673</v>
      </c>
      <c r="C574" s="41">
        <v>2345.421</v>
      </c>
      <c r="D574" s="22">
        <f t="shared" si="38"/>
        <v>1.763</v>
      </c>
      <c r="E574" s="87">
        <v>1.0</v>
      </c>
      <c r="F574" s="87">
        <v>0.763</v>
      </c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156"/>
      <c r="W574" s="156"/>
      <c r="X574" s="156"/>
      <c r="Y574" s="156"/>
      <c r="Z574" s="156"/>
      <c r="AA574" s="156"/>
      <c r="AB574" s="156"/>
      <c r="AC574" s="156"/>
      <c r="AD574" s="156"/>
      <c r="AE574" s="156"/>
      <c r="AF574" s="156"/>
      <c r="AG574" s="156"/>
      <c r="AH574" s="157"/>
      <c r="AI574" s="158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3"/>
      <c r="BQ574" s="33"/>
    </row>
    <row r="575" ht="15.75" customHeight="1">
      <c r="B575" s="81" t="s">
        <v>674</v>
      </c>
      <c r="C575" s="41">
        <v>3779.763</v>
      </c>
      <c r="D575" s="22">
        <f t="shared" si="38"/>
        <v>1.125</v>
      </c>
      <c r="E575" s="87">
        <v>1.0</v>
      </c>
      <c r="F575" s="87">
        <v>0.125</v>
      </c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156"/>
      <c r="W575" s="156"/>
      <c r="X575" s="156"/>
      <c r="Y575" s="156"/>
      <c r="Z575" s="156"/>
      <c r="AA575" s="156"/>
      <c r="AB575" s="156"/>
      <c r="AC575" s="156"/>
      <c r="AD575" s="156"/>
      <c r="AE575" s="156"/>
      <c r="AF575" s="156"/>
      <c r="AG575" s="156"/>
      <c r="AH575" s="157"/>
      <c r="AI575" s="158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3"/>
      <c r="BQ575" s="33"/>
    </row>
    <row r="576" ht="15.75" customHeight="1">
      <c r="B576" s="81" t="s">
        <v>675</v>
      </c>
      <c r="C576" s="142"/>
      <c r="D576" s="22">
        <f t="shared" si="38"/>
        <v>0</v>
      </c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156"/>
      <c r="W576" s="156"/>
      <c r="X576" s="156"/>
      <c r="Y576" s="156"/>
      <c r="Z576" s="156"/>
      <c r="AA576" s="156"/>
      <c r="AB576" s="156"/>
      <c r="AC576" s="156"/>
      <c r="AD576" s="156"/>
      <c r="AE576" s="156"/>
      <c r="AF576" s="156"/>
      <c r="AG576" s="156"/>
      <c r="AH576" s="157"/>
      <c r="AI576" s="158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3"/>
      <c r="BQ576" s="33"/>
    </row>
    <row r="577" ht="15.75" customHeight="1">
      <c r="B577" s="81"/>
      <c r="C577" s="21"/>
      <c r="D577" s="22">
        <f t="shared" si="38"/>
        <v>0</v>
      </c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156"/>
      <c r="W577" s="156"/>
      <c r="X577" s="156"/>
      <c r="Y577" s="156"/>
      <c r="Z577" s="156"/>
      <c r="AA577" s="156"/>
      <c r="AB577" s="156"/>
      <c r="AC577" s="156"/>
      <c r="AD577" s="156"/>
      <c r="AE577" s="156"/>
      <c r="AF577" s="156"/>
      <c r="AG577" s="157"/>
      <c r="AH577" s="158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5"/>
      <c r="BP577" s="5"/>
      <c r="BQ577" s="5"/>
    </row>
    <row r="578" ht="15.75" customHeight="1">
      <c r="B578" s="81"/>
      <c r="C578" s="21"/>
      <c r="D578" s="22">
        <f t="shared" si="38"/>
        <v>0</v>
      </c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156"/>
      <c r="W578" s="156"/>
      <c r="X578" s="156"/>
      <c r="Y578" s="156"/>
      <c r="Z578" s="156"/>
      <c r="AA578" s="156"/>
      <c r="AB578" s="156"/>
      <c r="AC578" s="156"/>
      <c r="AD578" s="156"/>
      <c r="AE578" s="156"/>
      <c r="AF578" s="156"/>
      <c r="AG578" s="157"/>
      <c r="AH578" s="158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5"/>
      <c r="BP578" s="5"/>
      <c r="BQ578" s="5"/>
    </row>
    <row r="579" ht="15.75" customHeight="1">
      <c r="B579" s="34" t="s">
        <v>676</v>
      </c>
      <c r="C579" s="21"/>
      <c r="D579" s="22">
        <f t="shared" si="38"/>
        <v>0</v>
      </c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156"/>
      <c r="W579" s="156"/>
      <c r="X579" s="156"/>
      <c r="Y579" s="156"/>
      <c r="Z579" s="156"/>
      <c r="AA579" s="156"/>
      <c r="AB579" s="156"/>
      <c r="AC579" s="156"/>
      <c r="AD579" s="156"/>
      <c r="AE579" s="156"/>
      <c r="AF579" s="156"/>
      <c r="AG579" s="157"/>
      <c r="AH579" s="158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5"/>
      <c r="BP579" s="5"/>
      <c r="BQ579" s="5"/>
    </row>
    <row r="580" ht="15.75" customHeight="1">
      <c r="B580" s="81" t="s">
        <v>146</v>
      </c>
      <c r="C580" s="29"/>
      <c r="D580" s="22">
        <f t="shared" si="38"/>
        <v>2.015</v>
      </c>
      <c r="E580" s="87">
        <v>2.015</v>
      </c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156"/>
      <c r="V580" s="156"/>
      <c r="W580" s="156"/>
      <c r="X580" s="156"/>
      <c r="Y580" s="156"/>
      <c r="Z580" s="156"/>
      <c r="AA580" s="156"/>
      <c r="AB580" s="156"/>
      <c r="AC580" s="156"/>
      <c r="AD580" s="156"/>
      <c r="AE580" s="156"/>
      <c r="AF580" s="156"/>
      <c r="AG580" s="157"/>
      <c r="AH580" s="158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5"/>
      <c r="BP580" s="5"/>
      <c r="BQ580" s="5"/>
    </row>
    <row r="581" ht="15.75" customHeight="1">
      <c r="B581" s="53" t="s">
        <v>147</v>
      </c>
      <c r="C581" s="29"/>
      <c r="D581" s="22">
        <f t="shared" si="38"/>
        <v>1.97</v>
      </c>
      <c r="E581" s="87">
        <v>1.555</v>
      </c>
      <c r="F581" s="87">
        <v>0.415</v>
      </c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156"/>
      <c r="V581" s="156"/>
      <c r="W581" s="156"/>
      <c r="X581" s="156"/>
      <c r="Y581" s="156"/>
      <c r="Z581" s="156"/>
      <c r="AA581" s="156"/>
      <c r="AB581" s="156"/>
      <c r="AC581" s="156"/>
      <c r="AD581" s="156"/>
      <c r="AE581" s="156"/>
      <c r="AF581" s="156"/>
      <c r="AG581" s="157"/>
      <c r="AH581" s="158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5"/>
      <c r="BP581" s="5"/>
      <c r="BQ581" s="5"/>
    </row>
    <row r="582" ht="15.75" customHeight="1">
      <c r="B582" s="81" t="s">
        <v>146</v>
      </c>
      <c r="C582" s="29"/>
      <c r="D582" s="22">
        <f t="shared" si="38"/>
        <v>2.015</v>
      </c>
      <c r="E582" s="87">
        <v>2.015</v>
      </c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156"/>
      <c r="V582" s="156"/>
      <c r="W582" s="156"/>
      <c r="X582" s="156"/>
      <c r="Y582" s="156"/>
      <c r="Z582" s="156"/>
      <c r="AA582" s="156"/>
      <c r="AB582" s="156"/>
      <c r="AC582" s="156"/>
      <c r="AD582" s="156"/>
      <c r="AE582" s="159"/>
      <c r="AF582" s="159"/>
      <c r="AG582" s="159"/>
      <c r="AH582" s="158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5"/>
      <c r="BP582" s="5"/>
      <c r="BQ582" s="5"/>
    </row>
    <row r="583" ht="15.75" customHeight="1">
      <c r="B583" s="81" t="s">
        <v>147</v>
      </c>
      <c r="C583" s="29"/>
      <c r="D583" s="22">
        <f t="shared" si="38"/>
        <v>1.97</v>
      </c>
      <c r="E583" s="87">
        <v>1.555</v>
      </c>
      <c r="F583" s="87">
        <v>0.415</v>
      </c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156"/>
      <c r="V583" s="156"/>
      <c r="W583" s="156"/>
      <c r="X583" s="156"/>
      <c r="Y583" s="156"/>
      <c r="Z583" s="156"/>
      <c r="AA583" s="156"/>
      <c r="AB583" s="156"/>
      <c r="AC583" s="156"/>
      <c r="AD583" s="156"/>
      <c r="AE583" s="159"/>
      <c r="AF583" s="159"/>
      <c r="AG583" s="159"/>
      <c r="AH583" s="158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5"/>
      <c r="BP583" s="5"/>
      <c r="BQ583" s="5"/>
    </row>
    <row r="584" ht="15.75" customHeight="1">
      <c r="B584" s="44"/>
      <c r="C584" s="29"/>
      <c r="D584" s="160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156"/>
      <c r="V584" s="156"/>
      <c r="W584" s="156"/>
      <c r="X584" s="156"/>
      <c r="Y584" s="156"/>
      <c r="Z584" s="156"/>
      <c r="AA584" s="156"/>
      <c r="AB584" s="156"/>
      <c r="AC584" s="156"/>
      <c r="AD584" s="156"/>
      <c r="AE584" s="159"/>
      <c r="AF584" s="159"/>
      <c r="AG584" s="159"/>
      <c r="AH584" s="158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5"/>
      <c r="BP584" s="5"/>
      <c r="BQ584" s="5"/>
    </row>
    <row r="585" ht="15.75" customHeight="1">
      <c r="B585" s="44"/>
      <c r="C585" s="29"/>
      <c r="D585" s="160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156"/>
      <c r="V585" s="156"/>
      <c r="W585" s="156"/>
      <c r="X585" s="156"/>
      <c r="Y585" s="156"/>
      <c r="Z585" s="156"/>
      <c r="AA585" s="156"/>
      <c r="AB585" s="156"/>
      <c r="AC585" s="156"/>
      <c r="AD585" s="156"/>
      <c r="AE585" s="159"/>
      <c r="AF585" s="159"/>
      <c r="AG585" s="159"/>
      <c r="AH585" s="158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5"/>
      <c r="BP585" s="5"/>
      <c r="BQ585" s="5"/>
    </row>
    <row r="586" ht="15.75" customHeight="1">
      <c r="B586" s="161"/>
      <c r="C586" s="29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156"/>
      <c r="V586" s="156"/>
      <c r="W586" s="156"/>
      <c r="X586" s="156"/>
      <c r="Y586" s="156"/>
      <c r="Z586" s="156"/>
      <c r="AA586" s="156"/>
      <c r="AB586" s="156"/>
      <c r="AC586" s="156"/>
      <c r="AD586" s="156"/>
      <c r="AE586" s="159"/>
      <c r="AF586" s="159"/>
      <c r="AG586" s="159"/>
      <c r="AH586" s="158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5"/>
      <c r="BP586" s="5"/>
      <c r="BQ586" s="5"/>
    </row>
    <row r="587" ht="15.75" customHeight="1">
      <c r="B587" s="44"/>
      <c r="C587" s="25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156"/>
      <c r="V587" s="156"/>
      <c r="W587" s="156"/>
      <c r="X587" s="156"/>
      <c r="Y587" s="156"/>
      <c r="Z587" s="156"/>
      <c r="AA587" s="156"/>
      <c r="AB587" s="156"/>
      <c r="AC587" s="156"/>
      <c r="AD587" s="156"/>
      <c r="AE587" s="159"/>
      <c r="AF587" s="159"/>
      <c r="AG587" s="159"/>
      <c r="AH587" s="158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5"/>
      <c r="BP587" s="5"/>
      <c r="BQ587" s="5"/>
    </row>
    <row r="588" ht="15.75" customHeight="1">
      <c r="A588" s="44"/>
      <c r="B588" s="44"/>
      <c r="C588" s="25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156"/>
      <c r="V588" s="156"/>
      <c r="W588" s="156"/>
      <c r="X588" s="156"/>
      <c r="Y588" s="156"/>
      <c r="Z588" s="156"/>
      <c r="AA588" s="156"/>
      <c r="AB588" s="156"/>
      <c r="AC588" s="156"/>
      <c r="AD588" s="156"/>
      <c r="AE588" s="159"/>
      <c r="AF588" s="159"/>
      <c r="AG588" s="159"/>
      <c r="AH588" s="158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5"/>
      <c r="BP588" s="5"/>
      <c r="BQ588" s="5"/>
    </row>
    <row r="589" ht="15.75" customHeight="1">
      <c r="A589" s="44"/>
      <c r="B589" s="25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156"/>
      <c r="U589" s="156"/>
      <c r="V589" s="156"/>
      <c r="W589" s="156"/>
      <c r="X589" s="156"/>
      <c r="Y589" s="156"/>
      <c r="Z589" s="156"/>
      <c r="AA589" s="156"/>
      <c r="AB589" s="156"/>
      <c r="AC589" s="156"/>
      <c r="AD589" s="156"/>
      <c r="AE589" s="159"/>
      <c r="AF589" s="159"/>
      <c r="AG589" s="159"/>
      <c r="AH589" s="158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5"/>
      <c r="BP589" s="5"/>
      <c r="BQ589" s="5"/>
    </row>
    <row r="590" ht="15.75" customHeight="1">
      <c r="A590" s="44"/>
      <c r="B590" s="25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156"/>
      <c r="U590" s="156"/>
      <c r="V590" s="156"/>
      <c r="W590" s="156"/>
      <c r="X590" s="156"/>
      <c r="Y590" s="156"/>
      <c r="Z590" s="156"/>
      <c r="AA590" s="156"/>
      <c r="AB590" s="156"/>
      <c r="AC590" s="156"/>
      <c r="AD590" s="156"/>
      <c r="AE590" s="159"/>
      <c r="AF590" s="159"/>
      <c r="AG590" s="159"/>
      <c r="AH590" s="158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5"/>
      <c r="BP590" s="5"/>
      <c r="BQ590" s="5"/>
    </row>
    <row r="591" ht="15.75" customHeight="1">
      <c r="A591" s="44"/>
      <c r="B591" s="25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156"/>
      <c r="U591" s="156"/>
      <c r="V591" s="156"/>
      <c r="W591" s="156"/>
      <c r="X591" s="156"/>
      <c r="Y591" s="156"/>
      <c r="Z591" s="156"/>
      <c r="AA591" s="156"/>
      <c r="AB591" s="156"/>
      <c r="AC591" s="156"/>
      <c r="AD591" s="156"/>
      <c r="AE591" s="159"/>
      <c r="AF591" s="159"/>
      <c r="AG591" s="159"/>
      <c r="AH591" s="158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5"/>
      <c r="BP591" s="5"/>
      <c r="BQ591" s="5"/>
    </row>
    <row r="592" ht="15.75" customHeight="1">
      <c r="A592" s="44"/>
      <c r="B592" s="25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156"/>
      <c r="U592" s="156"/>
      <c r="V592" s="156"/>
      <c r="W592" s="156"/>
      <c r="X592" s="156"/>
      <c r="Y592" s="156"/>
      <c r="Z592" s="156"/>
      <c r="AA592" s="156"/>
      <c r="AB592" s="156"/>
      <c r="AC592" s="156"/>
      <c r="AD592" s="156"/>
      <c r="AE592" s="159"/>
      <c r="AF592" s="159"/>
      <c r="AG592" s="159"/>
      <c r="AH592" s="158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5"/>
      <c r="BP592" s="5"/>
      <c r="BQ592" s="5"/>
    </row>
    <row r="593" ht="15.75" customHeight="1">
      <c r="A593" s="44"/>
      <c r="B593" s="25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9"/>
      <c r="AF593" s="159"/>
      <c r="AG593" s="159"/>
      <c r="AH593" s="158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5"/>
      <c r="BP593" s="5"/>
      <c r="BQ593" s="5"/>
    </row>
    <row r="594" ht="15.75" customHeight="1">
      <c r="A594" s="44"/>
      <c r="B594" s="25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156"/>
      <c r="U594" s="156"/>
      <c r="V594" s="156"/>
      <c r="W594" s="156"/>
      <c r="X594" s="156"/>
      <c r="Y594" s="156"/>
      <c r="Z594" s="156"/>
      <c r="AA594" s="156"/>
      <c r="AB594" s="156"/>
      <c r="AC594" s="156"/>
      <c r="AD594" s="156"/>
      <c r="AE594" s="159"/>
      <c r="AF594" s="159"/>
      <c r="AG594" s="159"/>
      <c r="AH594" s="158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5"/>
      <c r="BP594" s="5"/>
      <c r="BQ594" s="5"/>
    </row>
    <row r="595" ht="15.75" customHeight="1">
      <c r="A595" s="44"/>
      <c r="B595" s="25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156"/>
      <c r="U595" s="156"/>
      <c r="V595" s="156"/>
      <c r="W595" s="156"/>
      <c r="X595" s="156"/>
      <c r="Y595" s="156"/>
      <c r="Z595" s="156"/>
      <c r="AA595" s="156"/>
      <c r="AB595" s="156"/>
      <c r="AC595" s="156"/>
      <c r="AD595" s="156"/>
      <c r="AE595" s="159"/>
      <c r="AF595" s="159"/>
      <c r="AG595" s="159"/>
      <c r="AH595" s="158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5"/>
      <c r="BP595" s="5"/>
      <c r="BQ595" s="5"/>
    </row>
    <row r="596" ht="15.75" customHeight="1">
      <c r="A596" s="44"/>
      <c r="B596" s="25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  <c r="AD596" s="156"/>
      <c r="AE596" s="159"/>
      <c r="AF596" s="159"/>
      <c r="AG596" s="159"/>
      <c r="AH596" s="158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5"/>
      <c r="BP596" s="5"/>
      <c r="BQ596" s="5"/>
    </row>
    <row r="597" ht="15.75" customHeight="1">
      <c r="A597" s="44"/>
      <c r="B597" s="25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156"/>
      <c r="U597" s="156"/>
      <c r="V597" s="156"/>
      <c r="W597" s="156"/>
      <c r="X597" s="156"/>
      <c r="Y597" s="156"/>
      <c r="Z597" s="156"/>
      <c r="AA597" s="156"/>
      <c r="AB597" s="156"/>
      <c r="AC597" s="156"/>
      <c r="AD597" s="156"/>
      <c r="AE597" s="159"/>
      <c r="AF597" s="159"/>
      <c r="AG597" s="159"/>
      <c r="AH597" s="158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5"/>
      <c r="BP597" s="5"/>
      <c r="BQ597" s="5"/>
    </row>
    <row r="598" ht="15.75" customHeight="1">
      <c r="A598" s="44"/>
      <c r="B598" s="25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  <c r="AD598" s="156"/>
      <c r="AE598" s="159"/>
      <c r="AF598" s="159"/>
      <c r="AG598" s="159"/>
      <c r="AH598" s="158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5"/>
      <c r="BP598" s="5"/>
      <c r="BQ598" s="5"/>
    </row>
    <row r="599" ht="15.75" customHeight="1">
      <c r="A599" s="44"/>
      <c r="B599" s="25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156"/>
      <c r="U599" s="156"/>
      <c r="V599" s="156"/>
      <c r="W599" s="156"/>
      <c r="X599" s="156"/>
      <c r="Y599" s="156"/>
      <c r="Z599" s="156"/>
      <c r="AA599" s="156"/>
      <c r="AB599" s="156"/>
      <c r="AC599" s="156"/>
      <c r="AD599" s="156"/>
      <c r="AE599" s="159"/>
      <c r="AF599" s="159"/>
      <c r="AG599" s="159"/>
      <c r="AH599" s="158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5"/>
      <c r="BP599" s="5"/>
      <c r="BQ599" s="5"/>
    </row>
    <row r="600" ht="15.75" customHeight="1">
      <c r="A600" s="44"/>
      <c r="B600" s="25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156"/>
      <c r="U600" s="156"/>
      <c r="V600" s="156"/>
      <c r="W600" s="156"/>
      <c r="X600" s="156"/>
      <c r="Y600" s="156"/>
      <c r="Z600" s="156"/>
      <c r="AA600" s="156"/>
      <c r="AB600" s="156"/>
      <c r="AC600" s="156"/>
      <c r="AD600" s="156"/>
      <c r="AE600" s="159"/>
      <c r="AF600" s="159"/>
      <c r="AG600" s="159"/>
      <c r="AH600" s="158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5"/>
      <c r="BP600" s="5"/>
      <c r="BQ600" s="5"/>
    </row>
    <row r="601" ht="15.75" customHeight="1">
      <c r="A601" s="44"/>
      <c r="B601" s="25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156"/>
      <c r="U601" s="156"/>
      <c r="V601" s="156"/>
      <c r="W601" s="156"/>
      <c r="X601" s="156"/>
      <c r="Y601" s="156"/>
      <c r="Z601" s="156"/>
      <c r="AA601" s="156"/>
      <c r="AB601" s="156"/>
      <c r="AC601" s="156"/>
      <c r="AD601" s="156"/>
      <c r="AE601" s="159"/>
      <c r="AF601" s="159"/>
      <c r="AG601" s="159"/>
      <c r="AH601" s="158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5"/>
      <c r="BP601" s="5"/>
      <c r="BQ601" s="5"/>
    </row>
    <row r="602" ht="15.75" customHeight="1">
      <c r="A602" s="44"/>
      <c r="B602" s="25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156"/>
      <c r="U602" s="156"/>
      <c r="V602" s="156"/>
      <c r="W602" s="156"/>
      <c r="X602" s="156"/>
      <c r="Y602" s="156"/>
      <c r="Z602" s="156"/>
      <c r="AA602" s="156"/>
      <c r="AB602" s="156"/>
      <c r="AC602" s="156"/>
      <c r="AD602" s="156"/>
      <c r="AE602" s="159"/>
      <c r="AF602" s="159"/>
      <c r="AG602" s="159"/>
      <c r="AH602" s="158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5"/>
      <c r="BP602" s="5"/>
      <c r="BQ602" s="5"/>
    </row>
    <row r="603" ht="15.75" customHeight="1">
      <c r="A603" s="44"/>
      <c r="B603" s="25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156"/>
      <c r="U603" s="156"/>
      <c r="V603" s="156"/>
      <c r="W603" s="156"/>
      <c r="X603" s="156"/>
      <c r="Y603" s="156"/>
      <c r="Z603" s="156"/>
      <c r="AA603" s="156"/>
      <c r="AB603" s="156"/>
      <c r="AC603" s="156"/>
      <c r="AD603" s="156"/>
      <c r="AE603" s="159"/>
      <c r="AF603" s="159"/>
      <c r="AG603" s="159"/>
      <c r="AH603" s="158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5"/>
      <c r="BP603" s="5"/>
      <c r="BQ603" s="5"/>
    </row>
    <row r="604" ht="15.75" customHeight="1">
      <c r="A604" s="44"/>
      <c r="B604" s="25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156"/>
      <c r="U604" s="156"/>
      <c r="V604" s="156"/>
      <c r="W604" s="156"/>
      <c r="X604" s="156"/>
      <c r="Y604" s="156"/>
      <c r="Z604" s="156"/>
      <c r="AA604" s="156"/>
      <c r="AB604" s="156"/>
      <c r="AC604" s="156"/>
      <c r="AD604" s="156"/>
      <c r="AE604" s="159"/>
      <c r="AF604" s="159"/>
      <c r="AG604" s="159"/>
      <c r="AH604" s="158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5"/>
      <c r="BP604" s="5"/>
      <c r="BQ604" s="5"/>
    </row>
    <row r="605" ht="15.75" customHeight="1">
      <c r="A605" s="44"/>
      <c r="B605" s="25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156"/>
      <c r="U605" s="156"/>
      <c r="V605" s="156"/>
      <c r="W605" s="156"/>
      <c r="X605" s="156"/>
      <c r="Y605" s="156"/>
      <c r="Z605" s="156"/>
      <c r="AA605" s="156"/>
      <c r="AB605" s="156"/>
      <c r="AC605" s="156"/>
      <c r="AD605" s="156"/>
      <c r="AE605" s="159"/>
      <c r="AF605" s="159"/>
      <c r="AG605" s="159"/>
      <c r="AH605" s="158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5"/>
      <c r="BP605" s="5"/>
      <c r="BQ605" s="5"/>
    </row>
    <row r="606" ht="15.75" customHeight="1">
      <c r="A606" s="44"/>
      <c r="B606" s="25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156"/>
      <c r="U606" s="156"/>
      <c r="V606" s="156"/>
      <c r="W606" s="156"/>
      <c r="X606" s="156"/>
      <c r="Y606" s="156"/>
      <c r="Z606" s="156"/>
      <c r="AA606" s="156"/>
      <c r="AB606" s="156"/>
      <c r="AC606" s="156"/>
      <c r="AD606" s="156"/>
      <c r="AE606" s="159"/>
      <c r="AF606" s="159"/>
      <c r="AG606" s="159"/>
      <c r="AH606" s="158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5"/>
      <c r="BP606" s="5"/>
      <c r="BQ606" s="5"/>
    </row>
    <row r="607" ht="15.75" customHeight="1">
      <c r="A607" s="44"/>
      <c r="B607" s="25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156"/>
      <c r="U607" s="156"/>
      <c r="V607" s="156"/>
      <c r="W607" s="156"/>
      <c r="X607" s="156"/>
      <c r="Y607" s="156"/>
      <c r="Z607" s="156"/>
      <c r="AA607" s="156"/>
      <c r="AB607" s="156"/>
      <c r="AC607" s="156"/>
      <c r="AD607" s="156"/>
      <c r="AE607" s="159"/>
      <c r="AF607" s="159"/>
      <c r="AG607" s="159"/>
      <c r="AH607" s="158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5"/>
      <c r="BP607" s="5"/>
      <c r="BQ607" s="5"/>
    </row>
    <row r="608" ht="15.75" customHeight="1">
      <c r="A608" s="44"/>
      <c r="B608" s="25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156"/>
      <c r="U608" s="156"/>
      <c r="V608" s="156"/>
      <c r="W608" s="156"/>
      <c r="X608" s="156"/>
      <c r="Y608" s="156"/>
      <c r="Z608" s="156"/>
      <c r="AA608" s="156"/>
      <c r="AB608" s="156"/>
      <c r="AC608" s="156"/>
      <c r="AD608" s="156"/>
      <c r="AE608" s="159"/>
      <c r="AF608" s="159"/>
      <c r="AG608" s="159"/>
      <c r="AH608" s="158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5"/>
      <c r="BP608" s="5"/>
      <c r="BQ608" s="5"/>
    </row>
    <row r="609" ht="15.75" customHeight="1">
      <c r="A609" s="44"/>
      <c r="B609" s="25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156"/>
      <c r="U609" s="156"/>
      <c r="V609" s="156"/>
      <c r="W609" s="156"/>
      <c r="X609" s="156"/>
      <c r="Y609" s="156"/>
      <c r="Z609" s="156"/>
      <c r="AA609" s="156"/>
      <c r="AB609" s="156"/>
      <c r="AC609" s="156"/>
      <c r="AD609" s="156"/>
      <c r="AE609" s="159"/>
      <c r="AF609" s="159"/>
      <c r="AG609" s="159"/>
      <c r="AH609" s="158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5"/>
      <c r="BP609" s="5"/>
      <c r="BQ609" s="5"/>
    </row>
    <row r="610" ht="15.75" customHeight="1">
      <c r="A610" s="44"/>
      <c r="B610" s="25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156"/>
      <c r="U610" s="156"/>
      <c r="V610" s="156"/>
      <c r="W610" s="156"/>
      <c r="X610" s="156"/>
      <c r="Y610" s="156"/>
      <c r="Z610" s="156"/>
      <c r="AA610" s="156"/>
      <c r="AB610" s="156"/>
      <c r="AC610" s="156"/>
      <c r="AD610" s="156"/>
      <c r="AE610" s="159"/>
      <c r="AF610" s="159"/>
      <c r="AG610" s="159"/>
      <c r="AH610" s="158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5"/>
      <c r="BP610" s="5"/>
      <c r="BQ610" s="5"/>
    </row>
    <row r="611" ht="15.75" customHeight="1">
      <c r="A611" s="44"/>
      <c r="B611" s="25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156"/>
      <c r="U611" s="156"/>
      <c r="V611" s="156"/>
      <c r="W611" s="156"/>
      <c r="X611" s="156"/>
      <c r="Y611" s="156"/>
      <c r="Z611" s="156"/>
      <c r="AA611" s="156"/>
      <c r="AB611" s="156"/>
      <c r="AC611" s="156"/>
      <c r="AD611" s="156"/>
      <c r="AE611" s="159"/>
      <c r="AF611" s="159"/>
      <c r="AG611" s="159"/>
      <c r="AH611" s="158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5"/>
      <c r="BP611" s="5"/>
      <c r="BQ611" s="5"/>
    </row>
    <row r="612" ht="15.75" customHeight="1">
      <c r="A612" s="44"/>
      <c r="B612" s="25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156"/>
      <c r="U612" s="156"/>
      <c r="V612" s="156"/>
      <c r="W612" s="156"/>
      <c r="X612" s="156"/>
      <c r="Y612" s="156"/>
      <c r="Z612" s="156"/>
      <c r="AA612" s="156"/>
      <c r="AB612" s="156"/>
      <c r="AC612" s="156"/>
      <c r="AD612" s="156"/>
      <c r="AE612" s="159"/>
      <c r="AF612" s="159"/>
      <c r="AG612" s="159"/>
      <c r="AH612" s="158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5"/>
      <c r="BP612" s="5"/>
      <c r="BQ612" s="5"/>
    </row>
    <row r="613" ht="15.75" customHeight="1">
      <c r="A613" s="158"/>
      <c r="B613" s="25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156"/>
      <c r="U613" s="156"/>
      <c r="V613" s="156"/>
      <c r="W613" s="156"/>
      <c r="X613" s="156"/>
      <c r="Y613" s="156"/>
      <c r="Z613" s="156"/>
      <c r="AA613" s="156"/>
      <c r="AB613" s="156"/>
      <c r="AC613" s="156"/>
      <c r="AD613" s="156"/>
      <c r="AE613" s="159"/>
      <c r="AF613" s="159"/>
      <c r="AG613" s="159"/>
      <c r="AH613" s="158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5"/>
      <c r="BP613" s="5"/>
      <c r="BQ613" s="5"/>
    </row>
    <row r="614" ht="15.75" customHeight="1">
      <c r="A614" s="158"/>
      <c r="B614" s="25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156"/>
      <c r="U614" s="156"/>
      <c r="V614" s="156"/>
      <c r="W614" s="156"/>
      <c r="X614" s="156"/>
      <c r="Y614" s="156"/>
      <c r="Z614" s="156"/>
      <c r="AA614" s="156"/>
      <c r="AB614" s="156"/>
      <c r="AC614" s="156"/>
      <c r="AD614" s="156"/>
      <c r="AE614" s="159"/>
      <c r="AF614" s="159"/>
      <c r="AG614" s="159"/>
      <c r="AH614" s="158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5"/>
      <c r="BP614" s="5"/>
      <c r="BQ614" s="5"/>
    </row>
    <row r="615" ht="15.75" customHeight="1">
      <c r="A615" s="158"/>
      <c r="B615" s="162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156"/>
      <c r="U615" s="156"/>
      <c r="V615" s="156"/>
      <c r="W615" s="156"/>
      <c r="X615" s="156"/>
      <c r="Y615" s="156"/>
      <c r="Z615" s="156"/>
      <c r="AA615" s="156"/>
      <c r="AB615" s="156"/>
      <c r="AC615" s="156"/>
      <c r="AD615" s="156"/>
      <c r="AE615" s="159"/>
      <c r="AF615" s="159"/>
      <c r="AG615" s="159"/>
      <c r="AH615" s="158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5"/>
      <c r="BP615" s="5"/>
      <c r="BQ615" s="5"/>
    </row>
    <row r="616" ht="15.75" customHeight="1">
      <c r="A616" s="158"/>
      <c r="B616" s="162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156"/>
      <c r="U616" s="156"/>
      <c r="V616" s="156"/>
      <c r="W616" s="156"/>
      <c r="X616" s="156"/>
      <c r="Y616" s="156"/>
      <c r="Z616" s="156"/>
      <c r="AA616" s="156"/>
      <c r="AB616" s="156"/>
      <c r="AC616" s="156"/>
      <c r="AD616" s="156"/>
      <c r="AE616" s="159"/>
      <c r="AF616" s="159"/>
      <c r="AG616" s="159"/>
      <c r="AH616" s="158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5"/>
      <c r="BP616" s="5"/>
      <c r="BQ616" s="5"/>
    </row>
    <row r="617" ht="15.75" customHeight="1">
      <c r="A617" s="158"/>
      <c r="B617" s="162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156"/>
      <c r="U617" s="156"/>
      <c r="V617" s="156"/>
      <c r="W617" s="156"/>
      <c r="X617" s="156"/>
      <c r="Y617" s="156"/>
      <c r="Z617" s="156"/>
      <c r="AA617" s="156"/>
      <c r="AB617" s="156"/>
      <c r="AC617" s="156"/>
      <c r="AD617" s="156"/>
      <c r="AE617" s="159"/>
      <c r="AF617" s="159"/>
      <c r="AG617" s="159"/>
      <c r="AH617" s="158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5"/>
      <c r="BP617" s="5"/>
      <c r="BQ617" s="5"/>
    </row>
    <row r="618" ht="15.75" customHeight="1">
      <c r="A618" s="158"/>
      <c r="B618" s="162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156"/>
      <c r="U618" s="156"/>
      <c r="V618" s="156"/>
      <c r="W618" s="156"/>
      <c r="X618" s="156"/>
      <c r="Y618" s="156"/>
      <c r="Z618" s="156"/>
      <c r="AA618" s="156"/>
      <c r="AB618" s="156"/>
      <c r="AC618" s="156"/>
      <c r="AD618" s="156"/>
      <c r="AE618" s="159"/>
      <c r="AF618" s="159"/>
      <c r="AG618" s="159"/>
      <c r="AH618" s="158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5"/>
      <c r="BP618" s="5"/>
      <c r="BQ618" s="5"/>
    </row>
    <row r="619" ht="15.75" customHeight="1">
      <c r="A619" s="158"/>
      <c r="B619" s="162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156"/>
      <c r="U619" s="156"/>
      <c r="V619" s="156"/>
      <c r="W619" s="156"/>
      <c r="X619" s="156"/>
      <c r="Y619" s="156"/>
      <c r="Z619" s="156"/>
      <c r="AA619" s="156"/>
      <c r="AB619" s="156"/>
      <c r="AC619" s="156"/>
      <c r="AD619" s="156"/>
      <c r="AE619" s="159"/>
      <c r="AF619" s="159"/>
      <c r="AG619" s="159"/>
      <c r="AH619" s="158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5"/>
      <c r="BP619" s="5"/>
      <c r="BQ619" s="5"/>
    </row>
    <row r="620" ht="15.75" customHeight="1">
      <c r="A620" s="158"/>
      <c r="B620" s="162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156"/>
      <c r="U620" s="156"/>
      <c r="V620" s="156"/>
      <c r="W620" s="156"/>
      <c r="X620" s="156"/>
      <c r="Y620" s="156"/>
      <c r="Z620" s="156"/>
      <c r="AA620" s="156"/>
      <c r="AB620" s="156"/>
      <c r="AC620" s="156"/>
      <c r="AD620" s="156"/>
      <c r="AE620" s="159"/>
      <c r="AF620" s="159"/>
      <c r="AG620" s="159"/>
      <c r="AH620" s="158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5"/>
      <c r="BP620" s="5"/>
      <c r="BQ620" s="5"/>
    </row>
    <row r="621" ht="15.75" customHeight="1">
      <c r="A621" s="158"/>
      <c r="B621" s="162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156"/>
      <c r="U621" s="156"/>
      <c r="V621" s="156"/>
      <c r="W621" s="156"/>
      <c r="X621" s="156"/>
      <c r="Y621" s="156"/>
      <c r="Z621" s="156"/>
      <c r="AA621" s="156"/>
      <c r="AB621" s="156"/>
      <c r="AC621" s="156"/>
      <c r="AD621" s="156"/>
      <c r="AE621" s="159"/>
      <c r="AF621" s="159"/>
      <c r="AG621" s="159"/>
      <c r="AH621" s="158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5"/>
      <c r="BP621" s="5"/>
      <c r="BQ621" s="5"/>
    </row>
    <row r="622" ht="15.75" customHeight="1">
      <c r="A622" s="158"/>
      <c r="B622" s="162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  <c r="AD622" s="156"/>
      <c r="AE622" s="159"/>
      <c r="AF622" s="159"/>
      <c r="AG622" s="159"/>
      <c r="AH622" s="158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5"/>
      <c r="BP622" s="5"/>
      <c r="BQ622" s="5"/>
    </row>
    <row r="623" ht="15.75" customHeight="1">
      <c r="A623" s="162"/>
      <c r="B623" s="162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  <c r="AD623" s="156"/>
      <c r="AE623" s="159"/>
      <c r="AF623" s="159"/>
      <c r="AG623" s="159"/>
      <c r="AH623" s="158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5"/>
      <c r="BP623" s="5"/>
      <c r="BQ623" s="5"/>
    </row>
    <row r="624" ht="15.75" customHeight="1">
      <c r="A624" s="158"/>
      <c r="B624" s="162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156"/>
      <c r="U624" s="156"/>
      <c r="V624" s="156"/>
      <c r="W624" s="156"/>
      <c r="X624" s="156"/>
      <c r="Y624" s="156"/>
      <c r="Z624" s="156"/>
      <c r="AA624" s="156"/>
      <c r="AB624" s="156"/>
      <c r="AC624" s="156"/>
      <c r="AD624" s="156"/>
      <c r="AE624" s="159"/>
      <c r="AF624" s="159"/>
      <c r="AG624" s="159"/>
      <c r="AH624" s="158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5"/>
      <c r="BP624" s="5"/>
      <c r="BQ624" s="5"/>
    </row>
    <row r="625" ht="15.75" customHeight="1">
      <c r="A625" s="158"/>
      <c r="B625" s="162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156"/>
      <c r="U625" s="156"/>
      <c r="V625" s="156"/>
      <c r="W625" s="156"/>
      <c r="X625" s="156"/>
      <c r="Y625" s="156"/>
      <c r="Z625" s="156"/>
      <c r="AA625" s="156"/>
      <c r="AB625" s="156"/>
      <c r="AC625" s="156"/>
      <c r="AD625" s="156"/>
      <c r="AE625" s="159"/>
      <c r="AF625" s="159"/>
      <c r="AG625" s="159"/>
      <c r="AH625" s="158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5"/>
      <c r="BP625" s="5"/>
      <c r="BQ625" s="5"/>
    </row>
    <row r="626" ht="15.75" customHeight="1">
      <c r="A626" s="158"/>
      <c r="B626" s="162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156"/>
      <c r="U626" s="156"/>
      <c r="V626" s="156"/>
      <c r="W626" s="156"/>
      <c r="X626" s="156"/>
      <c r="Y626" s="156"/>
      <c r="Z626" s="156"/>
      <c r="AA626" s="156"/>
      <c r="AB626" s="156"/>
      <c r="AC626" s="156"/>
      <c r="AD626" s="156"/>
      <c r="AE626" s="159"/>
      <c r="AF626" s="159"/>
      <c r="AG626" s="159"/>
      <c r="AH626" s="158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5"/>
      <c r="BP626" s="5"/>
      <c r="BQ626" s="5"/>
    </row>
    <row r="627" ht="15.75" customHeight="1">
      <c r="A627" s="163"/>
      <c r="B627" s="162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156"/>
      <c r="U627" s="156"/>
      <c r="V627" s="156"/>
      <c r="W627" s="156"/>
      <c r="X627" s="156"/>
      <c r="Y627" s="156"/>
      <c r="Z627" s="156"/>
      <c r="AA627" s="156"/>
      <c r="AB627" s="156"/>
      <c r="AC627" s="156"/>
      <c r="AD627" s="156"/>
      <c r="AE627" s="164"/>
      <c r="AF627" s="159"/>
      <c r="AG627" s="159"/>
      <c r="AH627" s="159"/>
      <c r="AI627" s="158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2"/>
      <c r="BP627" s="33"/>
      <c r="BQ627" s="33"/>
    </row>
    <row r="628" ht="15.75" customHeight="1">
      <c r="A628" s="5"/>
      <c r="B628" s="162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156"/>
      <c r="U628" s="156"/>
      <c r="V628" s="156"/>
      <c r="W628" s="156"/>
      <c r="X628" s="156"/>
      <c r="Y628" s="156"/>
      <c r="Z628" s="156"/>
      <c r="AA628" s="5"/>
      <c r="AB628" s="5"/>
      <c r="AC628" s="5"/>
      <c r="AD628" s="5"/>
      <c r="AE628" s="5"/>
      <c r="AF628" s="159"/>
      <c r="AG628" s="159"/>
      <c r="AH628" s="159"/>
      <c r="AI628" s="158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3"/>
      <c r="BQ628" s="33"/>
    </row>
    <row r="629" ht="15.75" customHeight="1">
      <c r="A629" s="5"/>
      <c r="B629" s="162"/>
      <c r="C629" s="162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156"/>
      <c r="V629" s="156"/>
      <c r="W629" s="156"/>
      <c r="X629" s="156"/>
      <c r="Y629" s="156"/>
      <c r="Z629" s="156"/>
      <c r="AA629" s="5"/>
      <c r="AB629" s="5"/>
      <c r="AC629" s="5"/>
      <c r="AD629" s="5"/>
      <c r="AE629" s="5"/>
      <c r="AF629" s="159"/>
      <c r="AG629" s="159"/>
      <c r="AH629" s="159"/>
      <c r="AI629" s="158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3"/>
      <c r="BQ629" s="33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159"/>
      <c r="AG630" s="159"/>
      <c r="AH630" s="159"/>
      <c r="AI630" s="158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3"/>
      <c r="BQ630" s="33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159"/>
      <c r="AG631" s="159"/>
      <c r="AH631" s="159"/>
      <c r="AI631" s="158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3"/>
      <c r="BQ631" s="33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159"/>
      <c r="AG632" s="159"/>
      <c r="AH632" s="159"/>
      <c r="AI632" s="158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3"/>
      <c r="BQ632" s="33"/>
    </row>
    <row r="633" ht="15.75" customHeight="1">
      <c r="A633" s="26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164"/>
      <c r="AB633" s="164"/>
      <c r="AC633" s="164"/>
      <c r="AD633" s="164"/>
      <c r="AE633" s="164"/>
      <c r="AF633" s="159"/>
      <c r="AG633" s="159"/>
      <c r="AH633" s="159"/>
      <c r="AI633" s="158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3"/>
      <c r="BQ633" s="33"/>
    </row>
    <row r="634" ht="15.75" customHeight="1">
      <c r="A634" s="4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156"/>
      <c r="AB634" s="156"/>
      <c r="AC634" s="156"/>
      <c r="AD634" s="156"/>
      <c r="AE634" s="156"/>
      <c r="AF634" s="159"/>
      <c r="AG634" s="159"/>
      <c r="AH634" s="159"/>
      <c r="AI634" s="158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3"/>
      <c r="BQ634" s="33"/>
    </row>
    <row r="635" ht="15.75" customHeight="1">
      <c r="A635" s="44"/>
      <c r="B635" s="145"/>
      <c r="C635" s="14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64"/>
      <c r="V635" s="164"/>
      <c r="W635" s="164"/>
      <c r="X635" s="164"/>
      <c r="Y635" s="164"/>
      <c r="Z635" s="164"/>
      <c r="AA635" s="156"/>
      <c r="AB635" s="156"/>
      <c r="AC635" s="156"/>
      <c r="AD635" s="156"/>
      <c r="AE635" s="156"/>
      <c r="AF635" s="159"/>
      <c r="AG635" s="159"/>
      <c r="AH635" s="159"/>
      <c r="AI635" s="158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3"/>
      <c r="BQ635" s="33"/>
    </row>
    <row r="636" ht="15.75" customHeight="1">
      <c r="A636" s="44"/>
      <c r="B636" s="162"/>
      <c r="C636" s="162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156"/>
      <c r="V636" s="156"/>
      <c r="W636" s="156"/>
      <c r="X636" s="156"/>
      <c r="Y636" s="156"/>
      <c r="Z636" s="156"/>
      <c r="AA636" s="156"/>
      <c r="AB636" s="156"/>
      <c r="AC636" s="156"/>
      <c r="AD636" s="156"/>
      <c r="AE636" s="156"/>
      <c r="AF636" s="159"/>
      <c r="AG636" s="159"/>
      <c r="AH636" s="159"/>
      <c r="AI636" s="158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3"/>
      <c r="BQ636" s="33"/>
    </row>
    <row r="637" ht="15.75" customHeight="1">
      <c r="A637" s="44"/>
      <c r="B637" s="162"/>
      <c r="C637" s="162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156"/>
      <c r="V637" s="156"/>
      <c r="W637" s="156"/>
      <c r="X637" s="156"/>
      <c r="Y637" s="156"/>
      <c r="Z637" s="156"/>
      <c r="AA637" s="156"/>
      <c r="AB637" s="156"/>
      <c r="AC637" s="156"/>
      <c r="AD637" s="156"/>
      <c r="AE637" s="156"/>
      <c r="AF637" s="159"/>
      <c r="AG637" s="159"/>
      <c r="AH637" s="159"/>
      <c r="AI637" s="158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3"/>
      <c r="BQ637" s="33"/>
    </row>
    <row r="638" ht="15.75" customHeight="1">
      <c r="A638" s="44"/>
      <c r="B638" s="162"/>
      <c r="C638" s="162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156"/>
      <c r="V638" s="156"/>
      <c r="W638" s="156"/>
      <c r="X638" s="156"/>
      <c r="Y638" s="156"/>
      <c r="Z638" s="156"/>
      <c r="AA638" s="156"/>
      <c r="AB638" s="156"/>
      <c r="AC638" s="156"/>
      <c r="AD638" s="156"/>
      <c r="AE638" s="156"/>
      <c r="AF638" s="159"/>
      <c r="AG638" s="159"/>
      <c r="AH638" s="159"/>
      <c r="AI638" s="158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3"/>
      <c r="BQ638" s="33"/>
    </row>
    <row r="639" ht="15.75" customHeight="1">
      <c r="A639" s="44"/>
      <c r="B639" s="162"/>
      <c r="C639" s="162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156"/>
      <c r="V639" s="156"/>
      <c r="W639" s="156"/>
      <c r="X639" s="156"/>
      <c r="Y639" s="156"/>
      <c r="Z639" s="156"/>
      <c r="AA639" s="156"/>
      <c r="AB639" s="156"/>
      <c r="AC639" s="156"/>
      <c r="AD639" s="156"/>
      <c r="AE639" s="156"/>
      <c r="AF639" s="159"/>
      <c r="AG639" s="159"/>
      <c r="AH639" s="159"/>
      <c r="AI639" s="158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3"/>
      <c r="BQ639" s="33"/>
    </row>
    <row r="640" ht="15.75" customHeight="1">
      <c r="A640" s="44"/>
      <c r="B640" s="162"/>
      <c r="C640" s="162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156"/>
      <c r="V640" s="156"/>
      <c r="W640" s="156"/>
      <c r="X640" s="156"/>
      <c r="Y640" s="156"/>
      <c r="Z640" s="156"/>
      <c r="AA640" s="156"/>
      <c r="AB640" s="156"/>
      <c r="AC640" s="156"/>
      <c r="AD640" s="156"/>
      <c r="AE640" s="156"/>
      <c r="AF640" s="159"/>
      <c r="AG640" s="159"/>
      <c r="AH640" s="159"/>
      <c r="AI640" s="158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3"/>
      <c r="BQ640" s="33"/>
    </row>
    <row r="641" ht="15.75" customHeight="1">
      <c r="A641" s="44"/>
      <c r="B641" s="162"/>
      <c r="C641" s="162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156"/>
      <c r="V641" s="156"/>
      <c r="W641" s="156"/>
      <c r="X641" s="156"/>
      <c r="Y641" s="156"/>
      <c r="Z641" s="156"/>
      <c r="AA641" s="156"/>
      <c r="AB641" s="156"/>
      <c r="AC641" s="156"/>
      <c r="AD641" s="156"/>
      <c r="AE641" s="156"/>
      <c r="AF641" s="159"/>
      <c r="AG641" s="159"/>
      <c r="AH641" s="159"/>
      <c r="AI641" s="158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3"/>
      <c r="BQ641" s="33"/>
    </row>
    <row r="642" ht="15.75" customHeight="1">
      <c r="A642" s="158"/>
      <c r="B642" s="162"/>
      <c r="C642" s="162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156"/>
      <c r="V642" s="156"/>
      <c r="W642" s="156"/>
      <c r="X642" s="156"/>
      <c r="Y642" s="156"/>
      <c r="Z642" s="156"/>
      <c r="AA642" s="156"/>
      <c r="AB642" s="156"/>
      <c r="AC642" s="156"/>
      <c r="AD642" s="156"/>
      <c r="AE642" s="156"/>
      <c r="AF642" s="159"/>
      <c r="AG642" s="159"/>
      <c r="AH642" s="159"/>
      <c r="AI642" s="158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3"/>
      <c r="BQ642" s="33"/>
    </row>
    <row r="643" ht="15.75" customHeight="1">
      <c r="A643" s="158"/>
      <c r="B643" s="162"/>
      <c r="C643" s="162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156"/>
      <c r="V643" s="156"/>
      <c r="W643" s="156"/>
      <c r="X643" s="156"/>
      <c r="Y643" s="156"/>
      <c r="Z643" s="156"/>
      <c r="AA643" s="156"/>
      <c r="AB643" s="156"/>
      <c r="AC643" s="156"/>
      <c r="AD643" s="156"/>
      <c r="AE643" s="156"/>
      <c r="AF643" s="159"/>
      <c r="AG643" s="159"/>
      <c r="AH643" s="159"/>
      <c r="AI643" s="158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3"/>
      <c r="BQ643" s="33"/>
    </row>
    <row r="644" ht="15.75" customHeight="1">
      <c r="A644" s="158"/>
      <c r="B644" s="162"/>
      <c r="C644" s="162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156"/>
      <c r="V644" s="156"/>
      <c r="W644" s="156"/>
      <c r="X644" s="156"/>
      <c r="Y644" s="156"/>
      <c r="Z644" s="156"/>
      <c r="AA644" s="156"/>
      <c r="AB644" s="156"/>
      <c r="AC644" s="156"/>
      <c r="AD644" s="156"/>
      <c r="AE644" s="156"/>
      <c r="AF644" s="159"/>
      <c r="AG644" s="159"/>
      <c r="AH644" s="159"/>
      <c r="AI644" s="158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3"/>
      <c r="BQ644" s="33"/>
    </row>
    <row r="645" ht="15.75" customHeight="1">
      <c r="A645" s="158"/>
      <c r="B645" s="162"/>
      <c r="C645" s="162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156"/>
      <c r="V645" s="156"/>
      <c r="W645" s="156"/>
      <c r="X645" s="156"/>
      <c r="Y645" s="156"/>
      <c r="Z645" s="156"/>
      <c r="AA645" s="156"/>
      <c r="AB645" s="156"/>
      <c r="AC645" s="156"/>
      <c r="AD645" s="156"/>
      <c r="AE645" s="156"/>
      <c r="AF645" s="159"/>
      <c r="AG645" s="159"/>
      <c r="AH645" s="159"/>
      <c r="AI645" s="158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3"/>
      <c r="BQ645" s="33"/>
    </row>
    <row r="646" ht="15.75" customHeight="1">
      <c r="A646" s="158"/>
      <c r="B646" s="162"/>
      <c r="C646" s="162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6"/>
      <c r="AF646" s="159"/>
      <c r="AG646" s="159"/>
      <c r="AH646" s="159"/>
      <c r="AI646" s="158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3"/>
      <c r="BQ646" s="33"/>
    </row>
    <row r="647" ht="15.75" customHeight="1">
      <c r="A647" s="158"/>
      <c r="B647" s="162"/>
      <c r="C647" s="162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156"/>
      <c r="V647" s="156"/>
      <c r="W647" s="156"/>
      <c r="X647" s="156"/>
      <c r="Y647" s="156"/>
      <c r="Z647" s="156"/>
      <c r="AA647" s="156"/>
      <c r="AB647" s="156"/>
      <c r="AC647" s="156"/>
      <c r="AD647" s="156"/>
      <c r="AE647" s="156"/>
      <c r="AF647" s="159"/>
      <c r="AG647" s="159"/>
      <c r="AH647" s="159"/>
      <c r="AI647" s="158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3"/>
      <c r="BQ647" s="33"/>
    </row>
    <row r="648" ht="15.75" customHeight="1">
      <c r="A648" s="158"/>
      <c r="B648" s="162"/>
      <c r="C648" s="162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156"/>
      <c r="V648" s="156"/>
      <c r="W648" s="156"/>
      <c r="X648" s="156"/>
      <c r="Y648" s="156"/>
      <c r="Z648" s="156"/>
      <c r="AA648" s="156"/>
      <c r="AB648" s="156"/>
      <c r="AC648" s="156"/>
      <c r="AD648" s="156"/>
      <c r="AE648" s="156"/>
      <c r="AF648" s="159"/>
      <c r="AG648" s="159"/>
      <c r="AH648" s="159"/>
      <c r="AI648" s="158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3"/>
      <c r="BQ648" s="33"/>
    </row>
    <row r="649" ht="15.75" customHeight="1">
      <c r="A649" s="158"/>
      <c r="B649" s="162"/>
      <c r="C649" s="162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156"/>
      <c r="V649" s="156"/>
      <c r="W649" s="156"/>
      <c r="X649" s="156"/>
      <c r="Y649" s="156"/>
      <c r="Z649" s="156"/>
      <c r="AA649" s="156"/>
      <c r="AB649" s="156"/>
      <c r="AC649" s="156"/>
      <c r="AD649" s="156"/>
      <c r="AE649" s="156"/>
      <c r="AF649" s="159"/>
      <c r="AG649" s="159"/>
      <c r="AH649" s="159"/>
      <c r="AI649" s="158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3"/>
      <c r="BQ649" s="33"/>
    </row>
    <row r="650" ht="15.75" customHeight="1">
      <c r="A650" s="158"/>
      <c r="B650" s="162"/>
      <c r="C650" s="162"/>
      <c r="D650" s="87"/>
      <c r="E650" s="87"/>
      <c r="F650" s="87"/>
      <c r="G650" s="87"/>
      <c r="H650" s="87"/>
      <c r="I650" s="87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  <c r="AA650" s="156"/>
      <c r="AB650" s="156"/>
      <c r="AC650" s="156"/>
      <c r="AD650" s="156"/>
      <c r="AE650" s="156"/>
      <c r="AF650" s="159"/>
      <c r="AG650" s="159"/>
      <c r="AH650" s="159"/>
      <c r="AI650" s="158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3"/>
      <c r="BQ650" s="33"/>
    </row>
    <row r="651" ht="15.75" customHeight="1">
      <c r="A651" s="158"/>
      <c r="B651" s="162"/>
      <c r="C651" s="162"/>
      <c r="D651" s="87"/>
      <c r="E651" s="87"/>
      <c r="F651" s="87"/>
      <c r="G651" s="87"/>
      <c r="H651" s="87"/>
      <c r="I651" s="87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  <c r="AA651" s="156"/>
      <c r="AB651" s="156"/>
      <c r="AC651" s="156"/>
      <c r="AD651" s="156"/>
      <c r="AE651" s="156"/>
      <c r="AF651" s="159"/>
      <c r="AG651" s="159"/>
      <c r="AH651" s="159"/>
      <c r="AI651" s="158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3"/>
      <c r="BQ651" s="33"/>
    </row>
    <row r="652" ht="15.75" customHeight="1">
      <c r="A652" s="158"/>
      <c r="B652" s="162"/>
      <c r="C652" s="162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  <c r="AA652" s="156"/>
      <c r="AB652" s="156"/>
      <c r="AC652" s="156"/>
      <c r="AD652" s="156"/>
      <c r="AE652" s="156"/>
      <c r="AF652" s="159"/>
      <c r="AG652" s="159"/>
      <c r="AH652" s="159"/>
      <c r="AI652" s="158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3"/>
      <c r="BQ652" s="33"/>
    </row>
    <row r="653" ht="15.75" customHeight="1">
      <c r="A653" s="158"/>
      <c r="B653" s="162"/>
      <c r="C653" s="162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  <c r="AA653" s="156"/>
      <c r="AB653" s="156"/>
      <c r="AC653" s="156"/>
      <c r="AD653" s="156"/>
      <c r="AE653" s="156"/>
      <c r="AF653" s="159"/>
      <c r="AG653" s="159"/>
      <c r="AH653" s="159"/>
      <c r="AI653" s="158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3"/>
      <c r="BQ653" s="33"/>
    </row>
    <row r="654" ht="15.75" customHeight="1">
      <c r="A654" s="158"/>
      <c r="B654" s="162"/>
      <c r="C654" s="162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  <c r="AA654" s="156"/>
      <c r="AB654" s="156"/>
      <c r="AC654" s="156"/>
      <c r="AD654" s="156"/>
      <c r="AE654" s="156"/>
      <c r="AF654" s="159"/>
      <c r="AG654" s="159"/>
      <c r="AH654" s="159"/>
      <c r="AI654" s="158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3"/>
      <c r="BQ654" s="33"/>
    </row>
    <row r="655" ht="15.75" customHeight="1">
      <c r="A655" s="158"/>
      <c r="B655" s="162"/>
      <c r="C655" s="162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  <c r="AA655" s="162"/>
      <c r="AB655" s="162"/>
      <c r="AC655" s="162"/>
      <c r="AD655" s="162"/>
      <c r="AE655" s="162"/>
      <c r="AF655" s="165"/>
      <c r="AG655" s="165"/>
      <c r="AH655" s="165"/>
      <c r="AI655" s="158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3"/>
      <c r="BQ655" s="33"/>
    </row>
    <row r="656" ht="15.75" customHeight="1">
      <c r="A656" s="158"/>
      <c r="B656" s="162"/>
      <c r="C656" s="162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  <c r="AA656" s="162"/>
      <c r="AB656" s="162"/>
      <c r="AC656" s="162"/>
      <c r="AD656" s="162"/>
      <c r="AE656" s="162"/>
      <c r="AF656" s="165"/>
      <c r="AG656" s="165"/>
      <c r="AH656" s="165"/>
      <c r="AI656" s="158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3"/>
      <c r="BQ656" s="33"/>
    </row>
    <row r="657" ht="15.75" customHeight="1">
      <c r="A657" s="158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5"/>
      <c r="AG657" s="165"/>
      <c r="AH657" s="165"/>
      <c r="AI657" s="158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3"/>
      <c r="BQ657" s="33"/>
    </row>
    <row r="658" ht="15.75" customHeight="1">
      <c r="A658" s="158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5"/>
      <c r="AG658" s="165"/>
      <c r="AH658" s="165"/>
      <c r="AI658" s="158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3"/>
      <c r="BQ658" s="33"/>
    </row>
    <row r="659" ht="15.75" customHeight="1">
      <c r="A659" s="158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5"/>
      <c r="AG659" s="165"/>
      <c r="AH659" s="165"/>
      <c r="AI659" s="158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3"/>
      <c r="BQ659" s="33"/>
    </row>
    <row r="660" ht="15.75" customHeight="1">
      <c r="A660" s="158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5"/>
      <c r="AG660" s="165"/>
      <c r="AH660" s="165"/>
      <c r="AI660" s="158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3"/>
      <c r="BQ660" s="33"/>
    </row>
    <row r="661" ht="15.75" customHeight="1">
      <c r="A661" s="158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5"/>
      <c r="AG661" s="165"/>
      <c r="AH661" s="165"/>
      <c r="AI661" s="158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3"/>
      <c r="BQ661" s="33"/>
    </row>
    <row r="662" ht="15.75" customHeight="1">
      <c r="A662" s="158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5"/>
      <c r="AG662" s="165"/>
      <c r="AH662" s="165"/>
      <c r="AI662" s="158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3"/>
      <c r="BQ662" s="33"/>
    </row>
    <row r="663" ht="15.75" customHeight="1">
      <c r="A663" s="158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5"/>
      <c r="AG663" s="165"/>
      <c r="AH663" s="165"/>
      <c r="AI663" s="158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3"/>
      <c r="BQ663" s="33"/>
    </row>
    <row r="664" ht="15.75" customHeight="1">
      <c r="A664" s="158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5"/>
      <c r="AG664" s="165"/>
      <c r="AH664" s="165"/>
      <c r="AI664" s="158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3"/>
      <c r="BQ664" s="33"/>
    </row>
    <row r="665" ht="15.75" customHeight="1">
      <c r="A665" s="158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5"/>
      <c r="AG665" s="165"/>
      <c r="AH665" s="165"/>
      <c r="AI665" s="158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3"/>
      <c r="BQ665" s="33"/>
    </row>
    <row r="666" ht="15.75" customHeight="1">
      <c r="A666" s="158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5"/>
      <c r="AG666" s="165"/>
      <c r="AH666" s="165"/>
      <c r="AI666" s="158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3"/>
      <c r="BQ666" s="33"/>
    </row>
    <row r="667" ht="15.75" customHeight="1">
      <c r="A667" s="158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5"/>
      <c r="AG667" s="165"/>
      <c r="AH667" s="165"/>
      <c r="AI667" s="158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3"/>
      <c r="BQ667" s="33"/>
    </row>
    <row r="668" ht="15.75" customHeight="1">
      <c r="A668" s="158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5"/>
      <c r="AG668" s="165"/>
      <c r="AH668" s="165"/>
      <c r="AI668" s="158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3"/>
      <c r="BQ668" s="33"/>
    </row>
    <row r="669" ht="15.75" customHeight="1">
      <c r="A669" s="158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5"/>
      <c r="AG669" s="165"/>
      <c r="AH669" s="165"/>
      <c r="AI669" s="158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3"/>
      <c r="BQ669" s="33"/>
    </row>
    <row r="670" ht="15.75" customHeight="1">
      <c r="A670" s="158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5"/>
      <c r="AG670" s="165"/>
      <c r="AH670" s="165"/>
      <c r="AI670" s="158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3"/>
      <c r="BQ670" s="33"/>
    </row>
    <row r="671" ht="15.75" customHeight="1">
      <c r="A671" s="158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5"/>
      <c r="AG671" s="165"/>
      <c r="AH671" s="165"/>
      <c r="AI671" s="158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3"/>
      <c r="BQ671" s="33"/>
    </row>
    <row r="672" ht="15.75" customHeight="1">
      <c r="A672" s="158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5"/>
      <c r="AG672" s="165"/>
      <c r="AH672" s="165"/>
      <c r="AI672" s="158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3"/>
      <c r="BQ672" s="33"/>
    </row>
    <row r="673" ht="15.75" customHeight="1">
      <c r="A673" s="158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5"/>
      <c r="AG673" s="165"/>
      <c r="AH673" s="165"/>
      <c r="AI673" s="158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3"/>
      <c r="BQ673" s="33"/>
    </row>
    <row r="674" ht="15.75" customHeight="1">
      <c r="A674" s="158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5"/>
      <c r="AG674" s="165"/>
      <c r="AH674" s="165"/>
      <c r="AI674" s="158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3"/>
      <c r="BQ674" s="33"/>
    </row>
    <row r="675" ht="15.75" customHeight="1">
      <c r="A675" s="158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5"/>
      <c r="AG675" s="165"/>
      <c r="AH675" s="165"/>
      <c r="AI675" s="158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3"/>
      <c r="BQ675" s="33"/>
    </row>
    <row r="676" ht="15.75" customHeight="1">
      <c r="A676" s="158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5"/>
      <c r="AG676" s="165"/>
      <c r="AH676" s="165"/>
      <c r="AI676" s="158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3"/>
      <c r="BQ676" s="33"/>
    </row>
    <row r="677" ht="15.75" customHeight="1">
      <c r="A677" s="158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5"/>
      <c r="AG677" s="165"/>
      <c r="AH677" s="165"/>
      <c r="AI677" s="158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3"/>
      <c r="BQ677" s="33"/>
    </row>
    <row r="678" ht="15.75" customHeight="1">
      <c r="A678" s="158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5"/>
      <c r="AG678" s="165"/>
      <c r="AH678" s="165"/>
      <c r="AI678" s="158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3"/>
      <c r="BQ678" s="33"/>
    </row>
    <row r="679" ht="15.75" customHeight="1">
      <c r="A679" s="158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5"/>
      <c r="AG679" s="165"/>
      <c r="AH679" s="165"/>
      <c r="AI679" s="158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3"/>
      <c r="BQ679" s="33"/>
    </row>
    <row r="680" ht="15.75" customHeight="1">
      <c r="A680" s="158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5"/>
      <c r="AG680" s="165"/>
      <c r="AH680" s="165"/>
      <c r="AI680" s="158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3"/>
      <c r="BQ680" s="33"/>
    </row>
    <row r="681" ht="15.75" customHeight="1">
      <c r="A681" s="158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5"/>
      <c r="AG681" s="165"/>
      <c r="AH681" s="165"/>
      <c r="AI681" s="158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3"/>
      <c r="BQ681" s="33"/>
    </row>
    <row r="682" ht="15.75" customHeight="1">
      <c r="A682" s="158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5"/>
      <c r="AG682" s="165"/>
      <c r="AH682" s="165"/>
      <c r="AI682" s="158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3"/>
      <c r="BQ682" s="33"/>
    </row>
    <row r="683" ht="15.75" customHeight="1">
      <c r="A683" s="158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5"/>
      <c r="AG683" s="165"/>
      <c r="AH683" s="165"/>
      <c r="AI683" s="158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3"/>
      <c r="BQ683" s="33"/>
    </row>
    <row r="684" ht="15.75" customHeight="1">
      <c r="A684" s="158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5"/>
      <c r="AG684" s="165"/>
      <c r="AH684" s="165"/>
      <c r="AI684" s="158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3"/>
      <c r="BQ684" s="33"/>
    </row>
    <row r="685" ht="15.75" customHeight="1">
      <c r="A685" s="158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5"/>
      <c r="AG685" s="165"/>
      <c r="AH685" s="165"/>
      <c r="AI685" s="158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3"/>
      <c r="BQ685" s="33"/>
    </row>
    <row r="686" ht="15.75" customHeight="1">
      <c r="A686" s="158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5"/>
      <c r="AG686" s="165"/>
      <c r="AH686" s="165"/>
      <c r="AI686" s="158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3"/>
      <c r="BQ686" s="33"/>
    </row>
    <row r="687" ht="15.75" customHeight="1">
      <c r="A687" s="158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5"/>
      <c r="AG687" s="165"/>
      <c r="AH687" s="165"/>
      <c r="AI687" s="158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3"/>
      <c r="BQ687" s="33"/>
    </row>
    <row r="688" ht="15.75" customHeight="1">
      <c r="A688" s="158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5"/>
      <c r="AG688" s="165"/>
      <c r="AH688" s="165"/>
      <c r="AI688" s="158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3"/>
      <c r="BQ688" s="33"/>
    </row>
    <row r="689" ht="15.75" customHeight="1">
      <c r="A689" s="158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5"/>
      <c r="AG689" s="165"/>
      <c r="AH689" s="165"/>
      <c r="AI689" s="158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3"/>
      <c r="BQ689" s="33"/>
    </row>
    <row r="690" ht="15.75" customHeight="1">
      <c r="A690" s="158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5"/>
      <c r="AG690" s="165"/>
      <c r="AH690" s="165"/>
      <c r="AI690" s="158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3"/>
      <c r="BQ690" s="33"/>
    </row>
    <row r="691" ht="15.75" customHeight="1">
      <c r="A691" s="158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5"/>
      <c r="AG691" s="165"/>
      <c r="AH691" s="165"/>
      <c r="AI691" s="158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3"/>
      <c r="BQ691" s="33"/>
    </row>
    <row r="692" ht="15.75" customHeight="1">
      <c r="A692" s="158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5"/>
      <c r="AG692" s="165"/>
      <c r="AH692" s="165"/>
      <c r="AI692" s="158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3"/>
      <c r="BQ692" s="33"/>
    </row>
    <row r="693" ht="15.75" customHeight="1">
      <c r="A693" s="158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5"/>
      <c r="AG693" s="165"/>
      <c r="AH693" s="165"/>
      <c r="AI693" s="158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3"/>
      <c r="BQ693" s="33"/>
    </row>
    <row r="694" ht="15.75" customHeight="1">
      <c r="A694" s="158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5"/>
      <c r="AG694" s="165"/>
      <c r="AH694" s="165"/>
      <c r="AI694" s="158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3"/>
      <c r="BQ694" s="33"/>
    </row>
    <row r="695" ht="15.75" customHeight="1">
      <c r="A695" s="158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5"/>
      <c r="AG695" s="165"/>
      <c r="AH695" s="165"/>
      <c r="AI695" s="158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3"/>
      <c r="BQ695" s="33"/>
    </row>
    <row r="696" ht="15.75" customHeight="1">
      <c r="A696" s="158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5"/>
      <c r="AG696" s="165"/>
      <c r="AH696" s="165"/>
      <c r="AI696" s="158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3"/>
      <c r="BQ696" s="33"/>
    </row>
    <row r="697" ht="15.75" customHeight="1">
      <c r="A697" s="158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5"/>
      <c r="AG697" s="165"/>
      <c r="AH697" s="165"/>
      <c r="AI697" s="158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3"/>
      <c r="BQ697" s="33"/>
    </row>
    <row r="698" ht="15.75" customHeight="1">
      <c r="A698" s="158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5"/>
      <c r="AG698" s="165"/>
      <c r="AH698" s="165"/>
      <c r="AI698" s="158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3"/>
      <c r="BQ698" s="33"/>
    </row>
    <row r="699" ht="15.75" customHeight="1">
      <c r="A699" s="158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5"/>
      <c r="AG699" s="165"/>
      <c r="AH699" s="165"/>
      <c r="AI699" s="158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3"/>
      <c r="BQ699" s="33"/>
    </row>
    <row r="700" ht="15.75" customHeight="1">
      <c r="A700" s="158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5"/>
      <c r="AG700" s="165"/>
      <c r="AH700" s="165"/>
      <c r="AI700" s="158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3"/>
      <c r="BQ700" s="33"/>
    </row>
    <row r="701" ht="15.75" customHeight="1">
      <c r="A701" s="158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5"/>
      <c r="AG701" s="165"/>
      <c r="AH701" s="165"/>
      <c r="AI701" s="158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3"/>
      <c r="BQ701" s="33"/>
    </row>
    <row r="702" ht="15.75" customHeight="1">
      <c r="A702" s="158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5"/>
      <c r="AG702" s="165"/>
      <c r="AH702" s="165"/>
      <c r="AI702" s="158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3"/>
      <c r="BQ702" s="33"/>
    </row>
    <row r="703" ht="15.75" customHeight="1">
      <c r="A703" s="158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5"/>
      <c r="AG703" s="165"/>
      <c r="AH703" s="165"/>
      <c r="AI703" s="158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3"/>
      <c r="BQ703" s="33"/>
    </row>
    <row r="704" ht="15.75" customHeight="1">
      <c r="A704" s="158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5"/>
      <c r="AG704" s="165"/>
      <c r="AH704" s="165"/>
      <c r="AI704" s="158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3"/>
      <c r="BQ704" s="33"/>
    </row>
    <row r="705" ht="15.75" customHeight="1">
      <c r="A705" s="158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5"/>
      <c r="AG705" s="165"/>
      <c r="AH705" s="165"/>
      <c r="AI705" s="158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3"/>
      <c r="BQ705" s="33"/>
    </row>
    <row r="706" ht="15.75" customHeight="1">
      <c r="A706" s="158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5"/>
      <c r="AG706" s="165"/>
      <c r="AH706" s="165"/>
      <c r="AI706" s="158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3"/>
      <c r="BQ706" s="33"/>
    </row>
    <row r="707" ht="15.75" customHeight="1">
      <c r="A707" s="158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5"/>
      <c r="AG707" s="165"/>
      <c r="AH707" s="165"/>
      <c r="AI707" s="158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3"/>
      <c r="BQ707" s="33"/>
    </row>
    <row r="708" ht="15.75" customHeight="1">
      <c r="A708" s="158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5"/>
      <c r="AG708" s="165"/>
      <c r="AH708" s="165"/>
      <c r="AI708" s="158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3"/>
      <c r="BQ708" s="33"/>
    </row>
    <row r="709" ht="15.75" customHeight="1">
      <c r="A709" s="158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5"/>
      <c r="AG709" s="165"/>
      <c r="AH709" s="165"/>
      <c r="AI709" s="158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3"/>
      <c r="BQ709" s="33"/>
    </row>
    <row r="710" ht="15.75" customHeight="1">
      <c r="A710" s="158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5"/>
      <c r="AG710" s="165"/>
      <c r="AH710" s="165"/>
      <c r="AI710" s="158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3"/>
      <c r="BQ710" s="33"/>
    </row>
    <row r="711" ht="15.75" customHeight="1">
      <c r="A711" s="158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5"/>
      <c r="AG711" s="165"/>
      <c r="AH711" s="165"/>
      <c r="AI711" s="158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3"/>
      <c r="BQ711" s="33"/>
    </row>
    <row r="712" ht="15.75" customHeight="1">
      <c r="A712" s="158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5"/>
      <c r="AG712" s="165"/>
      <c r="AH712" s="165"/>
      <c r="AI712" s="158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3"/>
      <c r="BQ712" s="33"/>
    </row>
    <row r="713" ht="15.75" customHeight="1">
      <c r="A713" s="158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5"/>
      <c r="AG713" s="165"/>
      <c r="AH713" s="165"/>
      <c r="AI713" s="158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3"/>
      <c r="BQ713" s="33"/>
    </row>
    <row r="714" ht="15.75" customHeight="1">
      <c r="A714" s="158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5"/>
      <c r="AG714" s="165"/>
      <c r="AH714" s="165"/>
      <c r="AI714" s="158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3"/>
      <c r="BQ714" s="33"/>
    </row>
    <row r="715" ht="15.75" customHeight="1">
      <c r="A715" s="158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5"/>
      <c r="AG715" s="165"/>
      <c r="AH715" s="165"/>
      <c r="AI715" s="158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3"/>
      <c r="BQ715" s="33"/>
    </row>
    <row r="716" ht="15.75" customHeight="1">
      <c r="A716" s="158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5"/>
      <c r="AG716" s="165"/>
      <c r="AH716" s="165"/>
      <c r="AI716" s="158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3"/>
      <c r="BQ716" s="33"/>
    </row>
    <row r="717" ht="15.75" customHeight="1">
      <c r="A717" s="158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  <c r="AE717" s="162"/>
      <c r="AF717" s="165"/>
      <c r="AG717" s="165"/>
      <c r="AH717" s="165"/>
      <c r="AI717" s="158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3"/>
      <c r="BQ717" s="33"/>
    </row>
    <row r="718" ht="15.75" customHeight="1">
      <c r="A718" s="158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  <c r="AE718" s="162"/>
      <c r="AF718" s="165"/>
      <c r="AG718" s="165"/>
      <c r="AH718" s="165"/>
      <c r="AI718" s="158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3"/>
      <c r="BQ718" s="33"/>
    </row>
    <row r="719" ht="15.75" customHeight="1">
      <c r="A719" s="158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  <c r="AE719" s="162"/>
      <c r="AF719" s="165"/>
      <c r="AG719" s="165"/>
      <c r="AH719" s="165"/>
      <c r="AI719" s="158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3"/>
      <c r="BQ719" s="33"/>
    </row>
    <row r="720" ht="15.75" customHeight="1">
      <c r="A720" s="158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  <c r="AC720" s="162"/>
      <c r="AD720" s="162"/>
      <c r="AE720" s="162"/>
      <c r="AF720" s="165"/>
      <c r="AG720" s="165"/>
      <c r="AH720" s="165"/>
      <c r="AI720" s="158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3"/>
      <c r="BQ720" s="33"/>
    </row>
    <row r="721" ht="15.75" customHeight="1">
      <c r="A721" s="158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  <c r="AC721" s="162"/>
      <c r="AD721" s="162"/>
      <c r="AE721" s="162"/>
      <c r="AF721" s="165"/>
      <c r="AG721" s="165"/>
      <c r="AH721" s="165"/>
      <c r="AI721" s="158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3"/>
      <c r="BQ721" s="33"/>
    </row>
    <row r="722" ht="15.75" customHeight="1">
      <c r="A722" s="158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  <c r="AC722" s="162"/>
      <c r="AD722" s="162"/>
      <c r="AE722" s="162"/>
      <c r="AF722" s="165"/>
      <c r="AG722" s="165"/>
      <c r="AH722" s="165"/>
      <c r="AI722" s="158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3"/>
      <c r="BQ722" s="33"/>
    </row>
    <row r="723" ht="15.75" customHeight="1">
      <c r="A723" s="158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  <c r="AC723" s="162"/>
      <c r="AD723" s="162"/>
      <c r="AE723" s="162"/>
      <c r="AF723" s="165"/>
      <c r="AG723" s="165"/>
      <c r="AH723" s="165"/>
      <c r="AI723" s="158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3"/>
      <c r="BQ723" s="33"/>
    </row>
    <row r="724" ht="15.75" customHeight="1">
      <c r="A724" s="158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  <c r="AA724" s="162"/>
      <c r="AB724" s="162"/>
      <c r="AC724" s="162"/>
      <c r="AD724" s="162"/>
      <c r="AE724" s="162"/>
      <c r="AF724" s="165"/>
      <c r="AG724" s="165"/>
      <c r="AH724" s="165"/>
      <c r="AI724" s="158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3"/>
      <c r="BQ724" s="33"/>
    </row>
    <row r="725" ht="15.75" customHeight="1">
      <c r="A725" s="158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  <c r="AA725" s="162"/>
      <c r="AB725" s="162"/>
      <c r="AC725" s="162"/>
      <c r="AD725" s="162"/>
      <c r="AE725" s="162"/>
      <c r="AF725" s="165"/>
      <c r="AG725" s="165"/>
      <c r="AH725" s="165"/>
      <c r="AI725" s="158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3"/>
      <c r="BQ725" s="33"/>
    </row>
    <row r="726" ht="15.75" customHeight="1">
      <c r="A726" s="158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  <c r="AA726" s="162"/>
      <c r="AB726" s="162"/>
      <c r="AC726" s="162"/>
      <c r="AD726" s="162"/>
      <c r="AE726" s="162"/>
      <c r="AF726" s="165"/>
      <c r="AG726" s="165"/>
      <c r="AH726" s="165"/>
      <c r="AI726" s="158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3"/>
      <c r="BQ726" s="33"/>
    </row>
    <row r="727" ht="15.75" customHeight="1">
      <c r="A727" s="158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  <c r="AA727" s="162"/>
      <c r="AB727" s="162"/>
      <c r="AC727" s="162"/>
      <c r="AD727" s="162"/>
      <c r="AE727" s="162"/>
      <c r="AF727" s="165"/>
      <c r="AG727" s="165"/>
      <c r="AH727" s="165"/>
      <c r="AI727" s="158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3"/>
      <c r="BQ727" s="33"/>
    </row>
    <row r="728" ht="15.75" customHeight="1">
      <c r="A728" s="158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  <c r="AA728" s="162"/>
      <c r="AB728" s="162"/>
      <c r="AC728" s="162"/>
      <c r="AD728" s="162"/>
      <c r="AE728" s="162"/>
      <c r="AF728" s="165"/>
      <c r="AG728" s="165"/>
      <c r="AH728" s="165"/>
      <c r="AI728" s="158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3"/>
      <c r="BQ728" s="33"/>
    </row>
    <row r="729" ht="15.75" customHeight="1">
      <c r="A729" s="158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  <c r="AA729" s="162"/>
      <c r="AB729" s="162"/>
      <c r="AC729" s="162"/>
      <c r="AD729" s="162"/>
      <c r="AE729" s="162"/>
      <c r="AF729" s="165"/>
      <c r="AG729" s="165"/>
      <c r="AH729" s="165"/>
      <c r="AI729" s="158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3"/>
      <c r="BQ729" s="33"/>
    </row>
    <row r="730" ht="15.75" customHeight="1">
      <c r="A730" s="158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  <c r="AA730" s="162"/>
      <c r="AB730" s="162"/>
      <c r="AC730" s="162"/>
      <c r="AD730" s="162"/>
      <c r="AE730" s="162"/>
      <c r="AF730" s="165"/>
      <c r="AG730" s="165"/>
      <c r="AH730" s="165"/>
      <c r="AI730" s="158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3"/>
      <c r="BQ730" s="33"/>
    </row>
    <row r="731" ht="15.75" customHeight="1">
      <c r="A731" s="158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  <c r="AA731" s="162"/>
      <c r="AB731" s="162"/>
      <c r="AC731" s="162"/>
      <c r="AD731" s="162"/>
      <c r="AE731" s="162"/>
      <c r="AF731" s="165"/>
      <c r="AG731" s="165"/>
      <c r="AH731" s="165"/>
      <c r="AI731" s="158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3"/>
      <c r="BQ731" s="33"/>
    </row>
    <row r="732" ht="15.75" customHeight="1">
      <c r="A732" s="158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  <c r="AA732" s="162"/>
      <c r="AB732" s="162"/>
      <c r="AC732" s="162"/>
      <c r="AD732" s="162"/>
      <c r="AE732" s="162"/>
      <c r="AF732" s="165"/>
      <c r="AG732" s="165"/>
      <c r="AH732" s="165"/>
      <c r="AI732" s="158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3"/>
      <c r="BQ732" s="33"/>
    </row>
    <row r="733" ht="15.75" customHeight="1">
      <c r="A733" s="158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  <c r="AA733" s="162"/>
      <c r="AB733" s="162"/>
      <c r="AC733" s="162"/>
      <c r="AD733" s="162"/>
      <c r="AE733" s="162"/>
      <c r="AF733" s="165"/>
      <c r="AG733" s="165"/>
      <c r="AH733" s="165"/>
      <c r="AI733" s="158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3"/>
      <c r="BQ733" s="33"/>
    </row>
    <row r="734" ht="15.75" customHeight="1">
      <c r="A734" s="158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  <c r="AA734" s="162"/>
      <c r="AB734" s="162"/>
      <c r="AC734" s="162"/>
      <c r="AD734" s="162"/>
      <c r="AE734" s="162"/>
      <c r="AF734" s="165"/>
      <c r="AG734" s="165"/>
      <c r="AH734" s="165"/>
      <c r="AI734" s="158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3"/>
      <c r="BQ734" s="33"/>
    </row>
    <row r="735" ht="15.75" customHeight="1">
      <c r="A735" s="158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  <c r="AA735" s="31"/>
      <c r="AB735" s="31"/>
      <c r="AC735" s="31"/>
      <c r="AD735" s="31"/>
      <c r="AE735" s="31"/>
      <c r="AF735" s="5"/>
      <c r="AG735" s="5"/>
      <c r="AH735" s="5"/>
      <c r="AI735" s="37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3"/>
      <c r="BQ735" s="33"/>
    </row>
    <row r="736" ht="15.75" customHeight="1">
      <c r="A736" s="158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  <c r="AA736" s="31"/>
      <c r="AB736" s="31"/>
      <c r="AC736" s="31"/>
      <c r="AD736" s="31"/>
      <c r="AE736" s="31"/>
      <c r="AF736" s="5"/>
      <c r="AG736" s="5"/>
      <c r="AH736" s="5"/>
      <c r="AI736" s="37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3"/>
      <c r="BQ736" s="33"/>
    </row>
    <row r="737" ht="15.75" customHeight="1">
      <c r="A737" s="158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5"/>
      <c r="AG737" s="5"/>
      <c r="AH737" s="5"/>
      <c r="AI737" s="37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3"/>
      <c r="BQ737" s="33"/>
    </row>
    <row r="738" ht="15.75" customHeight="1">
      <c r="A738" s="37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5"/>
      <c r="AG738" s="5"/>
      <c r="AH738" s="5"/>
      <c r="AI738" s="37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3"/>
      <c r="BQ738" s="33"/>
    </row>
    <row r="739" ht="15.75" customHeight="1">
      <c r="A739" s="37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5"/>
      <c r="AG739" s="5"/>
      <c r="AH739" s="5"/>
      <c r="AI739" s="37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3"/>
      <c r="BQ739" s="33"/>
    </row>
    <row r="740" ht="15.75" customHeight="1">
      <c r="A740" s="37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5"/>
      <c r="AG740" s="5"/>
      <c r="AH740" s="5"/>
      <c r="AI740" s="37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3"/>
      <c r="BQ740" s="33"/>
    </row>
    <row r="741" ht="15.75" customHeight="1">
      <c r="A741" s="37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5"/>
      <c r="AG741" s="5"/>
      <c r="AH741" s="5"/>
      <c r="AI741" s="37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3"/>
      <c r="BQ741" s="33"/>
    </row>
    <row r="742" ht="15.75" customHeight="1">
      <c r="A742" s="37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5"/>
      <c r="AG742" s="5"/>
      <c r="AH742" s="5"/>
      <c r="AI742" s="37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3"/>
      <c r="BQ742" s="33"/>
    </row>
    <row r="743" ht="15.75" customHeight="1">
      <c r="A743" s="37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5"/>
      <c r="AG743" s="5"/>
      <c r="AH743" s="5"/>
      <c r="AI743" s="37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3"/>
      <c r="BQ743" s="33"/>
    </row>
    <row r="744" ht="15.75" customHeight="1">
      <c r="A744" s="37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5"/>
      <c r="AG744" s="5"/>
      <c r="AH744" s="5"/>
      <c r="AI744" s="37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3"/>
      <c r="BQ744" s="33"/>
    </row>
    <row r="745" ht="15.75" customHeight="1">
      <c r="A745" s="37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5"/>
      <c r="AG745" s="5"/>
      <c r="AH745" s="5"/>
      <c r="AI745" s="37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3"/>
      <c r="BQ745" s="33"/>
    </row>
    <row r="746" ht="15.75" customHeight="1">
      <c r="A746" s="37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5"/>
      <c r="AG746" s="5"/>
      <c r="AH746" s="5"/>
      <c r="AI746" s="37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3"/>
      <c r="BQ746" s="33"/>
    </row>
    <row r="747" ht="15.75" customHeight="1">
      <c r="A747" s="37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5"/>
      <c r="AG747" s="5"/>
      <c r="AH747" s="5"/>
      <c r="AI747" s="37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3"/>
      <c r="BQ747" s="33"/>
    </row>
    <row r="748" ht="15.75" customHeight="1">
      <c r="A748" s="37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5"/>
      <c r="AG748" s="5"/>
      <c r="AH748" s="5"/>
      <c r="AI748" s="37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3"/>
      <c r="BQ748" s="33"/>
    </row>
    <row r="749" ht="15.75" customHeight="1">
      <c r="A749" s="37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5"/>
      <c r="AG749" s="5"/>
      <c r="AH749" s="5"/>
      <c r="AI749" s="37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3"/>
      <c r="BQ749" s="33"/>
    </row>
    <row r="750" ht="15.75" customHeight="1">
      <c r="A750" s="37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5"/>
      <c r="AG750" s="5"/>
      <c r="AH750" s="5"/>
      <c r="AI750" s="37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3"/>
      <c r="BQ750" s="33"/>
    </row>
    <row r="751" ht="15.75" customHeight="1">
      <c r="A751" s="37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5"/>
      <c r="AG751" s="5"/>
      <c r="AH751" s="5"/>
      <c r="AI751" s="37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3"/>
      <c r="BQ751" s="33"/>
    </row>
    <row r="752" ht="15.75" customHeight="1">
      <c r="A752" s="37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5"/>
      <c r="AG752" s="5"/>
      <c r="AH752" s="5"/>
      <c r="AI752" s="37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3"/>
      <c r="BQ752" s="33"/>
    </row>
    <row r="753" ht="15.75" customHeight="1">
      <c r="A753" s="37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5"/>
      <c r="AG753" s="5"/>
      <c r="AH753" s="5"/>
      <c r="AI753" s="37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3"/>
      <c r="BQ753" s="33"/>
    </row>
    <row r="754" ht="15.75" customHeight="1">
      <c r="A754" s="37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5"/>
      <c r="AG754" s="5"/>
      <c r="AH754" s="5"/>
      <c r="AI754" s="37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3"/>
      <c r="BQ754" s="33"/>
    </row>
    <row r="755" ht="15.75" customHeight="1">
      <c r="A755" s="37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5"/>
      <c r="AG755" s="5"/>
      <c r="AH755" s="5"/>
      <c r="AI755" s="37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3"/>
      <c r="BQ755" s="33"/>
    </row>
    <row r="756" ht="15.75" customHeight="1">
      <c r="A756" s="37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5"/>
      <c r="AG756" s="5"/>
      <c r="AH756" s="5"/>
      <c r="AI756" s="37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3"/>
      <c r="BQ756" s="33"/>
    </row>
    <row r="757" ht="15.75" customHeight="1">
      <c r="A757" s="37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5"/>
      <c r="AG757" s="5"/>
      <c r="AH757" s="5"/>
      <c r="AI757" s="37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3"/>
      <c r="BQ757" s="33"/>
    </row>
    <row r="758" ht="15.75" customHeight="1">
      <c r="A758" s="37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5"/>
      <c r="AG758" s="5"/>
      <c r="AH758" s="5"/>
      <c r="AI758" s="37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3"/>
      <c r="BQ758" s="33"/>
    </row>
    <row r="759" ht="15.75" customHeight="1">
      <c r="A759" s="37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5"/>
      <c r="AG759" s="5"/>
      <c r="AH759" s="5"/>
      <c r="AI759" s="37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3"/>
      <c r="BQ759" s="33"/>
    </row>
    <row r="760" ht="15.75" customHeight="1">
      <c r="A760" s="37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5"/>
      <c r="AG760" s="5"/>
      <c r="AH760" s="5"/>
      <c r="AI760" s="37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3"/>
      <c r="BQ760" s="33"/>
    </row>
    <row r="761" ht="15.75" customHeight="1">
      <c r="A761" s="37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5"/>
      <c r="AG761" s="5"/>
      <c r="AH761" s="5"/>
      <c r="AI761" s="37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3"/>
      <c r="BQ761" s="33"/>
    </row>
    <row r="762" ht="15.75" customHeight="1">
      <c r="A762" s="37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5"/>
      <c r="AG762" s="5"/>
      <c r="AH762" s="5"/>
      <c r="AI762" s="37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3"/>
      <c r="BQ762" s="33"/>
    </row>
    <row r="763" ht="15.75" customHeight="1">
      <c r="A763" s="37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5"/>
      <c r="AG763" s="5"/>
      <c r="AH763" s="5"/>
      <c r="AI763" s="37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3"/>
      <c r="BQ763" s="33"/>
    </row>
    <row r="764" ht="15.75" customHeight="1">
      <c r="A764" s="37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5"/>
      <c r="AG764" s="5"/>
      <c r="AH764" s="5"/>
      <c r="AI764" s="37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3"/>
      <c r="BQ764" s="33"/>
    </row>
    <row r="765" ht="15.75" customHeight="1">
      <c r="A765" s="37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5"/>
      <c r="AG765" s="5"/>
      <c r="AH765" s="5"/>
      <c r="AI765" s="37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3"/>
      <c r="BQ765" s="33"/>
    </row>
    <row r="766" ht="15.75" customHeight="1">
      <c r="A766" s="37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5"/>
      <c r="AG766" s="5"/>
      <c r="AH766" s="5"/>
      <c r="AI766" s="37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3"/>
      <c r="BQ766" s="33"/>
    </row>
    <row r="767" ht="15.75" customHeight="1">
      <c r="A767" s="37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5"/>
      <c r="AG767" s="5"/>
      <c r="AH767" s="5"/>
      <c r="AI767" s="37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3"/>
      <c r="BQ767" s="33"/>
    </row>
    <row r="768" ht="15.75" customHeight="1">
      <c r="A768" s="37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5"/>
      <c r="AG768" s="5"/>
      <c r="AH768" s="5"/>
      <c r="AI768" s="37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3"/>
      <c r="BQ768" s="33"/>
    </row>
    <row r="769" ht="15.75" customHeight="1">
      <c r="A769" s="37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5"/>
      <c r="AG769" s="5"/>
      <c r="AH769" s="5"/>
      <c r="AI769" s="37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3"/>
      <c r="BQ769" s="33"/>
    </row>
    <row r="770" ht="15.75" customHeight="1">
      <c r="A770" s="166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166"/>
      <c r="AB770" s="166"/>
      <c r="AC770" s="166"/>
      <c r="AD770" s="166"/>
      <c r="AE770" s="166"/>
      <c r="AF770" s="167"/>
      <c r="AG770" s="167"/>
      <c r="AH770" s="167"/>
      <c r="AI770" s="166"/>
      <c r="AJ770" s="168"/>
      <c r="AK770" s="168"/>
      <c r="AL770" s="168"/>
      <c r="AM770" s="168"/>
      <c r="AN770" s="168"/>
      <c r="AO770" s="168"/>
      <c r="AP770" s="168"/>
      <c r="AQ770" s="168"/>
      <c r="AR770" s="168"/>
      <c r="AS770" s="168"/>
      <c r="AT770" s="168"/>
      <c r="AU770" s="168"/>
      <c r="AV770" s="168"/>
      <c r="AW770" s="168"/>
      <c r="AX770" s="168"/>
      <c r="AY770" s="168"/>
      <c r="AZ770" s="168"/>
      <c r="BA770" s="168"/>
      <c r="BB770" s="168"/>
      <c r="BC770" s="168"/>
      <c r="BD770" s="168"/>
      <c r="BE770" s="168"/>
      <c r="BF770" s="168"/>
      <c r="BG770" s="168"/>
      <c r="BH770" s="168"/>
      <c r="BI770" s="168"/>
      <c r="BJ770" s="168"/>
      <c r="BK770" s="168"/>
      <c r="BL770" s="168"/>
      <c r="BM770" s="168"/>
      <c r="BN770" s="168"/>
      <c r="BO770" s="168"/>
      <c r="BP770" s="169"/>
      <c r="BQ770" s="169"/>
    </row>
    <row r="771" ht="15.75" customHeight="1">
      <c r="A771" s="166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166"/>
      <c r="AB771" s="166"/>
      <c r="AC771" s="166"/>
      <c r="AD771" s="166"/>
      <c r="AE771" s="166"/>
      <c r="AF771" s="167"/>
      <c r="AG771" s="167"/>
      <c r="AH771" s="167"/>
      <c r="AI771" s="166"/>
      <c r="AJ771" s="168"/>
      <c r="AK771" s="168"/>
      <c r="AL771" s="168"/>
      <c r="AM771" s="168"/>
      <c r="AN771" s="168"/>
      <c r="AO771" s="168"/>
      <c r="AP771" s="168"/>
      <c r="AQ771" s="168"/>
      <c r="AR771" s="168"/>
      <c r="AS771" s="168"/>
      <c r="AT771" s="168"/>
      <c r="AU771" s="168"/>
      <c r="AV771" s="168"/>
      <c r="AW771" s="168"/>
      <c r="AX771" s="168"/>
      <c r="AY771" s="168"/>
      <c r="AZ771" s="168"/>
      <c r="BA771" s="168"/>
      <c r="BB771" s="168"/>
      <c r="BC771" s="168"/>
      <c r="BD771" s="168"/>
      <c r="BE771" s="168"/>
      <c r="BF771" s="168"/>
      <c r="BG771" s="168"/>
      <c r="BH771" s="168"/>
      <c r="BI771" s="168"/>
      <c r="BJ771" s="168"/>
      <c r="BK771" s="168"/>
      <c r="BL771" s="168"/>
      <c r="BM771" s="168"/>
      <c r="BN771" s="168"/>
      <c r="BO771" s="168"/>
      <c r="BP771" s="169"/>
      <c r="BQ771" s="169"/>
    </row>
    <row r="772" ht="15.75" customHeight="1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8"/>
      <c r="AB772" s="168"/>
      <c r="AC772" s="168"/>
      <c r="AD772" s="168"/>
      <c r="AE772" s="168"/>
      <c r="AI772" s="168"/>
      <c r="AJ772" s="168"/>
      <c r="AK772" s="168"/>
      <c r="AL772" s="168"/>
      <c r="AM772" s="168"/>
      <c r="AN772" s="168"/>
      <c r="AO772" s="168"/>
      <c r="AP772" s="168"/>
      <c r="AQ772" s="168"/>
      <c r="AR772" s="168"/>
      <c r="AS772" s="168"/>
      <c r="AT772" s="168"/>
      <c r="AU772" s="168"/>
      <c r="AV772" s="168"/>
      <c r="AW772" s="168"/>
      <c r="AX772" s="168"/>
      <c r="AY772" s="168"/>
      <c r="AZ772" s="168"/>
      <c r="BA772" s="168"/>
      <c r="BB772" s="168"/>
      <c r="BC772" s="168"/>
      <c r="BD772" s="168"/>
      <c r="BE772" s="168"/>
      <c r="BF772" s="168"/>
      <c r="BG772" s="168"/>
      <c r="BH772" s="168"/>
      <c r="BI772" s="168"/>
      <c r="BJ772" s="168"/>
      <c r="BK772" s="168"/>
      <c r="BL772" s="168"/>
      <c r="BM772" s="168"/>
      <c r="BN772" s="168"/>
      <c r="BO772" s="168"/>
      <c r="BP772" s="169"/>
      <c r="BQ772" s="169"/>
    </row>
    <row r="773" ht="15.75" customHeight="1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8"/>
      <c r="AB773" s="168"/>
      <c r="AC773" s="168"/>
      <c r="AD773" s="168"/>
      <c r="AE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168"/>
      <c r="AT773" s="168"/>
      <c r="AU773" s="168"/>
      <c r="AV773" s="168"/>
      <c r="AW773" s="168"/>
      <c r="AX773" s="168"/>
      <c r="AY773" s="168"/>
      <c r="AZ773" s="168"/>
      <c r="BA773" s="168"/>
      <c r="BB773" s="168"/>
      <c r="BC773" s="168"/>
      <c r="BD773" s="168"/>
      <c r="BE773" s="168"/>
      <c r="BF773" s="168"/>
      <c r="BG773" s="168"/>
      <c r="BH773" s="168"/>
      <c r="BI773" s="168"/>
      <c r="BJ773" s="168"/>
      <c r="BK773" s="168"/>
      <c r="BL773" s="168"/>
      <c r="BM773" s="168"/>
      <c r="BN773" s="168"/>
      <c r="BO773" s="168"/>
      <c r="BP773" s="169"/>
      <c r="BQ773" s="169"/>
    </row>
    <row r="774" ht="15.75" customHeight="1">
      <c r="A774" s="166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  <c r="AD774" s="168"/>
      <c r="AE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168"/>
      <c r="AT774" s="168"/>
      <c r="AU774" s="168"/>
      <c r="AV774" s="168"/>
      <c r="AW774" s="168"/>
      <c r="AX774" s="168"/>
      <c r="AY774" s="168"/>
      <c r="AZ774" s="168"/>
      <c r="BA774" s="168"/>
      <c r="BB774" s="168"/>
      <c r="BC774" s="168"/>
      <c r="BD774" s="168"/>
      <c r="BE774" s="168"/>
      <c r="BF774" s="168"/>
      <c r="BG774" s="168"/>
      <c r="BH774" s="168"/>
      <c r="BI774" s="168"/>
      <c r="BJ774" s="168"/>
      <c r="BK774" s="168"/>
      <c r="BL774" s="168"/>
      <c r="BM774" s="168"/>
      <c r="BN774" s="168"/>
      <c r="BO774" s="168"/>
      <c r="BP774" s="169"/>
      <c r="BQ774" s="169"/>
    </row>
    <row r="775" ht="15.75" customHeight="1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  <c r="AD775" s="168"/>
      <c r="AE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168"/>
      <c r="AT775" s="168"/>
      <c r="AU775" s="168"/>
      <c r="AV775" s="168"/>
      <c r="AW775" s="168"/>
      <c r="AX775" s="168"/>
      <c r="AY775" s="168"/>
      <c r="AZ775" s="168"/>
      <c r="BA775" s="168"/>
      <c r="BB775" s="168"/>
      <c r="BC775" s="168"/>
      <c r="BD775" s="168"/>
      <c r="BE775" s="168"/>
      <c r="BF775" s="168"/>
      <c r="BG775" s="168"/>
      <c r="BH775" s="168"/>
      <c r="BI775" s="168"/>
      <c r="BJ775" s="168"/>
      <c r="BK775" s="168"/>
      <c r="BL775" s="168"/>
      <c r="BM775" s="168"/>
      <c r="BN775" s="168"/>
      <c r="BO775" s="168"/>
      <c r="BP775" s="169"/>
      <c r="BQ775" s="169"/>
    </row>
    <row r="776" ht="15.75" customHeight="1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  <c r="AD776" s="168"/>
      <c r="AE776" s="168"/>
      <c r="AI776" s="168"/>
      <c r="AJ776" s="168"/>
      <c r="AK776" s="168"/>
      <c r="AL776" s="168"/>
      <c r="AM776" s="168"/>
      <c r="AN776" s="168"/>
      <c r="AO776" s="168"/>
      <c r="AP776" s="168"/>
      <c r="AQ776" s="168"/>
      <c r="AR776" s="168"/>
      <c r="AS776" s="168"/>
      <c r="AT776" s="168"/>
      <c r="AU776" s="168"/>
      <c r="AV776" s="168"/>
      <c r="AW776" s="168"/>
      <c r="AX776" s="168"/>
      <c r="AY776" s="168"/>
      <c r="AZ776" s="168"/>
      <c r="BA776" s="168"/>
      <c r="BB776" s="168"/>
      <c r="BC776" s="168"/>
      <c r="BD776" s="168"/>
      <c r="BE776" s="168"/>
      <c r="BF776" s="168"/>
      <c r="BG776" s="168"/>
      <c r="BH776" s="168"/>
      <c r="BI776" s="168"/>
      <c r="BJ776" s="168"/>
      <c r="BK776" s="168"/>
      <c r="BL776" s="168"/>
      <c r="BM776" s="168"/>
      <c r="BN776" s="168"/>
      <c r="BO776" s="168"/>
      <c r="BP776" s="169"/>
      <c r="BQ776" s="169"/>
    </row>
    <row r="777" ht="15.75" customHeight="1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  <c r="AD777" s="168"/>
      <c r="AE777" s="168"/>
      <c r="AI777" s="168"/>
      <c r="AJ777" s="168"/>
      <c r="AK777" s="168"/>
      <c r="AL777" s="168"/>
      <c r="AM777" s="168"/>
      <c r="AN777" s="168"/>
      <c r="AO777" s="168"/>
      <c r="AP777" s="168"/>
      <c r="AQ777" s="168"/>
      <c r="AR777" s="168"/>
      <c r="AS777" s="168"/>
      <c r="AT777" s="168"/>
      <c r="AU777" s="168"/>
      <c r="AV777" s="168"/>
      <c r="AW777" s="168"/>
      <c r="AX777" s="168"/>
      <c r="AY777" s="168"/>
      <c r="AZ777" s="168"/>
      <c r="BA777" s="168"/>
      <c r="BB777" s="168"/>
      <c r="BC777" s="168"/>
      <c r="BD777" s="168"/>
      <c r="BE777" s="168"/>
      <c r="BF777" s="168"/>
      <c r="BG777" s="168"/>
      <c r="BH777" s="168"/>
      <c r="BI777" s="168"/>
      <c r="BJ777" s="168"/>
      <c r="BK777" s="168"/>
      <c r="BL777" s="168"/>
      <c r="BM777" s="168"/>
      <c r="BN777" s="168"/>
      <c r="BO777" s="168"/>
      <c r="BP777" s="169"/>
      <c r="BQ777" s="169"/>
    </row>
    <row r="778" ht="15.75" customHeight="1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  <c r="AD778" s="168"/>
      <c r="AE778" s="168"/>
      <c r="AI778" s="168"/>
      <c r="AJ778" s="168"/>
      <c r="AK778" s="168"/>
      <c r="AL778" s="168"/>
      <c r="AM778" s="168"/>
      <c r="AN778" s="168"/>
      <c r="AO778" s="168"/>
      <c r="AP778" s="168"/>
      <c r="AQ778" s="168"/>
      <c r="AR778" s="168"/>
      <c r="AS778" s="168"/>
      <c r="AT778" s="168"/>
      <c r="AU778" s="168"/>
      <c r="AV778" s="168"/>
      <c r="AW778" s="168"/>
      <c r="AX778" s="168"/>
      <c r="AY778" s="168"/>
      <c r="AZ778" s="168"/>
      <c r="BA778" s="168"/>
      <c r="BB778" s="168"/>
      <c r="BC778" s="168"/>
      <c r="BD778" s="168"/>
      <c r="BE778" s="168"/>
      <c r="BF778" s="168"/>
      <c r="BG778" s="168"/>
      <c r="BH778" s="168"/>
      <c r="BI778" s="168"/>
      <c r="BJ778" s="168"/>
      <c r="BK778" s="168"/>
      <c r="BL778" s="168"/>
      <c r="BM778" s="168"/>
      <c r="BN778" s="168"/>
      <c r="BO778" s="168"/>
      <c r="BP778" s="169"/>
      <c r="BQ778" s="169"/>
    </row>
    <row r="779" ht="15.75" customHeight="1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  <c r="AD779" s="168"/>
      <c r="AE779" s="168"/>
      <c r="AI779" s="168"/>
      <c r="AJ779" s="168"/>
      <c r="AK779" s="168"/>
      <c r="AL779" s="168"/>
      <c r="AM779" s="168"/>
      <c r="AN779" s="168"/>
      <c r="AO779" s="168"/>
      <c r="AP779" s="168"/>
      <c r="AQ779" s="168"/>
      <c r="AR779" s="168"/>
      <c r="AS779" s="168"/>
      <c r="AT779" s="168"/>
      <c r="AU779" s="168"/>
      <c r="AV779" s="168"/>
      <c r="AW779" s="168"/>
      <c r="AX779" s="168"/>
      <c r="AY779" s="168"/>
      <c r="AZ779" s="168"/>
      <c r="BA779" s="168"/>
      <c r="BB779" s="168"/>
      <c r="BC779" s="168"/>
      <c r="BD779" s="168"/>
      <c r="BE779" s="168"/>
      <c r="BF779" s="168"/>
      <c r="BG779" s="168"/>
      <c r="BH779" s="168"/>
      <c r="BI779" s="168"/>
      <c r="BJ779" s="168"/>
      <c r="BK779" s="168"/>
      <c r="BL779" s="168"/>
      <c r="BM779" s="168"/>
      <c r="BN779" s="168"/>
      <c r="BO779" s="168"/>
      <c r="BP779" s="169"/>
      <c r="BQ779" s="169"/>
    </row>
    <row r="780" ht="15.75" customHeight="1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  <c r="AD780" s="168"/>
      <c r="AE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168"/>
      <c r="AT780" s="168"/>
      <c r="AU780" s="168"/>
      <c r="AV780" s="168"/>
      <c r="AW780" s="168"/>
      <c r="AX780" s="168"/>
      <c r="AY780" s="168"/>
      <c r="AZ780" s="168"/>
      <c r="BA780" s="168"/>
      <c r="BB780" s="168"/>
      <c r="BC780" s="168"/>
      <c r="BD780" s="168"/>
      <c r="BE780" s="168"/>
      <c r="BF780" s="168"/>
      <c r="BG780" s="168"/>
      <c r="BH780" s="168"/>
      <c r="BI780" s="168"/>
      <c r="BJ780" s="168"/>
      <c r="BK780" s="168"/>
      <c r="BL780" s="168"/>
      <c r="BM780" s="168"/>
      <c r="BN780" s="168"/>
      <c r="BO780" s="168"/>
      <c r="BP780" s="169"/>
      <c r="BQ780" s="169"/>
    </row>
    <row r="781" ht="15.75" customHeight="1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  <c r="AD781" s="168"/>
      <c r="AE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168"/>
      <c r="AT781" s="168"/>
      <c r="AU781" s="168"/>
      <c r="AV781" s="168"/>
      <c r="AW781" s="168"/>
      <c r="AX781" s="168"/>
      <c r="AY781" s="168"/>
      <c r="AZ781" s="168"/>
      <c r="BA781" s="168"/>
      <c r="BB781" s="168"/>
      <c r="BC781" s="168"/>
      <c r="BD781" s="168"/>
      <c r="BE781" s="168"/>
      <c r="BF781" s="168"/>
      <c r="BG781" s="168"/>
      <c r="BH781" s="168"/>
      <c r="BI781" s="168"/>
      <c r="BJ781" s="168"/>
      <c r="BK781" s="168"/>
      <c r="BL781" s="168"/>
      <c r="BM781" s="168"/>
      <c r="BN781" s="168"/>
      <c r="BO781" s="168"/>
      <c r="BP781" s="169"/>
      <c r="BQ781" s="169"/>
    </row>
    <row r="782" ht="15.75" customHeight="1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  <c r="AD782" s="168"/>
      <c r="AE782" s="168"/>
      <c r="AI782" s="168"/>
      <c r="AJ782" s="168"/>
      <c r="AK782" s="168"/>
      <c r="AL782" s="168"/>
      <c r="AM782" s="168"/>
      <c r="AN782" s="168"/>
      <c r="AO782" s="168"/>
      <c r="AP782" s="168"/>
      <c r="AQ782" s="168"/>
      <c r="AR782" s="168"/>
      <c r="AS782" s="168"/>
      <c r="AT782" s="168"/>
      <c r="AU782" s="168"/>
      <c r="AV782" s="168"/>
      <c r="AW782" s="168"/>
      <c r="AX782" s="168"/>
      <c r="AY782" s="168"/>
      <c r="AZ782" s="168"/>
      <c r="BA782" s="168"/>
      <c r="BB782" s="168"/>
      <c r="BC782" s="168"/>
      <c r="BD782" s="168"/>
      <c r="BE782" s="168"/>
      <c r="BF782" s="168"/>
      <c r="BG782" s="168"/>
      <c r="BH782" s="168"/>
      <c r="BI782" s="168"/>
      <c r="BJ782" s="168"/>
      <c r="BK782" s="168"/>
      <c r="BL782" s="168"/>
      <c r="BM782" s="168"/>
      <c r="BN782" s="168"/>
      <c r="BO782" s="168"/>
      <c r="BP782" s="169"/>
      <c r="BQ782" s="169"/>
    </row>
    <row r="783" ht="15.75" customHeight="1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  <c r="AD783" s="168"/>
      <c r="AE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168"/>
      <c r="AT783" s="168"/>
      <c r="AU783" s="168"/>
      <c r="AV783" s="168"/>
      <c r="AW783" s="168"/>
      <c r="AX783" s="168"/>
      <c r="AY783" s="168"/>
      <c r="AZ783" s="168"/>
      <c r="BA783" s="168"/>
      <c r="BB783" s="168"/>
      <c r="BC783" s="168"/>
      <c r="BD783" s="168"/>
      <c r="BE783" s="168"/>
      <c r="BF783" s="168"/>
      <c r="BG783" s="168"/>
      <c r="BH783" s="168"/>
      <c r="BI783" s="168"/>
      <c r="BJ783" s="168"/>
      <c r="BK783" s="168"/>
      <c r="BL783" s="168"/>
      <c r="BM783" s="168"/>
      <c r="BN783" s="168"/>
      <c r="BO783" s="168"/>
      <c r="BP783" s="169"/>
      <c r="BQ783" s="169"/>
    </row>
    <row r="784" ht="15.75" customHeight="1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  <c r="AD784" s="168"/>
      <c r="AE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168"/>
      <c r="AT784" s="168"/>
      <c r="AU784" s="168"/>
      <c r="AV784" s="168"/>
      <c r="AW784" s="168"/>
      <c r="AX784" s="168"/>
      <c r="AY784" s="168"/>
      <c r="AZ784" s="168"/>
      <c r="BA784" s="168"/>
      <c r="BB784" s="168"/>
      <c r="BC784" s="168"/>
      <c r="BD784" s="168"/>
      <c r="BE784" s="168"/>
      <c r="BF784" s="168"/>
      <c r="BG784" s="168"/>
      <c r="BH784" s="168"/>
      <c r="BI784" s="168"/>
      <c r="BJ784" s="168"/>
      <c r="BK784" s="168"/>
      <c r="BL784" s="168"/>
      <c r="BM784" s="168"/>
      <c r="BN784" s="168"/>
      <c r="BO784" s="168"/>
      <c r="BP784" s="169"/>
      <c r="BQ784" s="169"/>
    </row>
    <row r="785" ht="15.75" customHeight="1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  <c r="AD785" s="168"/>
      <c r="AE785" s="168"/>
      <c r="AI785" s="168"/>
      <c r="AJ785" s="168"/>
      <c r="AK785" s="168"/>
      <c r="AL785" s="168"/>
      <c r="AM785" s="168"/>
      <c r="AN785" s="168"/>
      <c r="AO785" s="168"/>
      <c r="AP785" s="168"/>
      <c r="AQ785" s="168"/>
      <c r="AR785" s="168"/>
      <c r="AS785" s="168"/>
      <c r="AT785" s="168"/>
      <c r="AU785" s="168"/>
      <c r="AV785" s="168"/>
      <c r="AW785" s="168"/>
      <c r="AX785" s="168"/>
      <c r="AY785" s="168"/>
      <c r="AZ785" s="168"/>
      <c r="BA785" s="168"/>
      <c r="BB785" s="168"/>
      <c r="BC785" s="168"/>
      <c r="BD785" s="168"/>
      <c r="BE785" s="168"/>
      <c r="BF785" s="168"/>
      <c r="BG785" s="168"/>
      <c r="BH785" s="168"/>
      <c r="BI785" s="168"/>
      <c r="BJ785" s="168"/>
      <c r="BK785" s="168"/>
      <c r="BL785" s="168"/>
      <c r="BM785" s="168"/>
      <c r="BN785" s="168"/>
      <c r="BO785" s="168"/>
      <c r="BP785" s="169"/>
      <c r="BQ785" s="169"/>
    </row>
    <row r="786" ht="15.75" customHeight="1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  <c r="AD786" s="168"/>
      <c r="AE786" s="168"/>
      <c r="AI786" s="168"/>
      <c r="AJ786" s="168"/>
      <c r="AK786" s="168"/>
      <c r="AL786" s="168"/>
      <c r="AM786" s="168"/>
      <c r="AN786" s="168"/>
      <c r="AO786" s="168"/>
      <c r="AP786" s="168"/>
      <c r="AQ786" s="168"/>
      <c r="AR786" s="168"/>
      <c r="AS786" s="168"/>
      <c r="AT786" s="168"/>
      <c r="AU786" s="168"/>
      <c r="AV786" s="168"/>
      <c r="AW786" s="168"/>
      <c r="AX786" s="168"/>
      <c r="AY786" s="168"/>
      <c r="AZ786" s="168"/>
      <c r="BA786" s="168"/>
      <c r="BB786" s="168"/>
      <c r="BC786" s="168"/>
      <c r="BD786" s="168"/>
      <c r="BE786" s="168"/>
      <c r="BF786" s="168"/>
      <c r="BG786" s="168"/>
      <c r="BH786" s="168"/>
      <c r="BI786" s="168"/>
      <c r="BJ786" s="168"/>
      <c r="BK786" s="168"/>
      <c r="BL786" s="168"/>
      <c r="BM786" s="168"/>
      <c r="BN786" s="168"/>
      <c r="BO786" s="168"/>
      <c r="BP786" s="169"/>
      <c r="BQ786" s="169"/>
    </row>
    <row r="787" ht="15.75" customHeight="1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  <c r="AD787" s="168"/>
      <c r="AE787" s="168"/>
      <c r="AI787" s="168"/>
      <c r="AJ787" s="168"/>
      <c r="AK787" s="168"/>
      <c r="AL787" s="168"/>
      <c r="AM787" s="168"/>
      <c r="AN787" s="168"/>
      <c r="AO787" s="168"/>
      <c r="AP787" s="168"/>
      <c r="AQ787" s="168"/>
      <c r="AR787" s="168"/>
      <c r="AS787" s="168"/>
      <c r="AT787" s="168"/>
      <c r="AU787" s="168"/>
      <c r="AV787" s="168"/>
      <c r="AW787" s="168"/>
      <c r="AX787" s="168"/>
      <c r="AY787" s="168"/>
      <c r="AZ787" s="168"/>
      <c r="BA787" s="168"/>
      <c r="BB787" s="168"/>
      <c r="BC787" s="168"/>
      <c r="BD787" s="168"/>
      <c r="BE787" s="168"/>
      <c r="BF787" s="168"/>
      <c r="BG787" s="168"/>
      <c r="BH787" s="168"/>
      <c r="BI787" s="168"/>
      <c r="BJ787" s="168"/>
      <c r="BK787" s="168"/>
      <c r="BL787" s="168"/>
      <c r="BM787" s="168"/>
      <c r="BN787" s="168"/>
      <c r="BO787" s="168"/>
      <c r="BP787" s="169"/>
      <c r="BQ787" s="169"/>
    </row>
  </sheetData>
  <printOptions/>
  <pageMargins bottom="0.0" footer="0.0" header="0.0" left="0.2559744611608313" right="0.030716935339299756" top="0.0"/>
  <pageSetup fitToHeight="0" paperSize="9" orientation="landscape"/>
  <drawing r:id="rId1"/>
</worksheet>
</file>